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G:\Meu Drive\Pessoal\Financeiro\Modelos\"/>
    </mc:Choice>
  </mc:AlternateContent>
  <xr:revisionPtr revIDLastSave="0" documentId="13_ncr:1_{F05A6AFA-7CA6-4AD1-A524-5F42AFB2D9DD}" xr6:coauthVersionLast="47" xr6:coauthVersionMax="47" xr10:uidLastSave="{00000000-0000-0000-0000-000000000000}"/>
  <bookViews>
    <workbookView xWindow="-120" yWindow="-120" windowWidth="25440" windowHeight="15390" tabRatio="769" activeTab="4" xr2:uid="{00000000-000D-0000-FFFF-FFFF00000000}"/>
  </bookViews>
  <sheets>
    <sheet name="Insercao_Dado" sheetId="1" r:id="rId1"/>
    <sheet name="DashBoard" sheetId="18" r:id="rId2"/>
    <sheet name="jan" sheetId="19" r:id="rId3"/>
    <sheet name="fev" sheetId="20" r:id="rId4"/>
    <sheet name="mar" sheetId="21" r:id="rId5"/>
    <sheet name="abr" sheetId="22" r:id="rId6"/>
    <sheet name="mai" sheetId="23" r:id="rId7"/>
    <sheet name="jun" sheetId="24" r:id="rId8"/>
    <sheet name="ago" sheetId="26" r:id="rId9"/>
    <sheet name="jul" sheetId="25" r:id="rId10"/>
    <sheet name="set" sheetId="27" r:id="rId11"/>
    <sheet name="out" sheetId="8" r:id="rId12"/>
    <sheet name="nov" sheetId="28" r:id="rId13"/>
    <sheet name="dez" sheetId="29" r:id="rId14"/>
    <sheet name="DATA" sheetId="3" state="hidden" r:id="rId15"/>
  </sheets>
  <definedNames>
    <definedName name="_xlnm._FilterDatabase" localSheetId="5" hidden="1">abr!$B$5:$G$105</definedName>
    <definedName name="_xlnm._FilterDatabase" localSheetId="8" hidden="1">ago!$B$5:$G$105</definedName>
    <definedName name="_xlnm._FilterDatabase" localSheetId="14" hidden="1">DATA!$B$1:$E$1</definedName>
    <definedName name="_xlnm._FilterDatabase" localSheetId="13" hidden="1">dez!$B$5:$G$105</definedName>
    <definedName name="_xlnm._FilterDatabase" localSheetId="3" hidden="1">fev!$B$5:$G$105</definedName>
    <definedName name="_xlnm._FilterDatabase" localSheetId="2" hidden="1">jan!$B$5:$G$105</definedName>
    <definedName name="_xlnm._FilterDatabase" localSheetId="9" hidden="1">jul!$B$5:$G$105</definedName>
    <definedName name="_xlnm._FilterDatabase" localSheetId="7" hidden="1">jun!$B$5:$G$105</definedName>
    <definedName name="_xlnm._FilterDatabase" localSheetId="6" hidden="1">mai!$B$5:$G$105</definedName>
    <definedName name="_xlnm._FilterDatabase" localSheetId="4" hidden="1">mar!$B$5:$G$105</definedName>
    <definedName name="_xlnm._FilterDatabase" localSheetId="12" hidden="1">nov!$B$5:$G$105</definedName>
    <definedName name="_xlnm._FilterDatabase" localSheetId="11" hidden="1">out!$B$5:$G$105</definedName>
    <definedName name="_xlnm._FilterDatabase" localSheetId="10" hidden="1">set!$B$5:$G$105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" i="18" l="1"/>
  <c r="V5" i="18"/>
  <c r="W5" i="18"/>
  <c r="X5" i="18"/>
  <c r="Y5" i="18"/>
  <c r="Z5" i="18"/>
  <c r="S5" i="18"/>
  <c r="S4" i="18"/>
  <c r="T4" i="18"/>
  <c r="V4" i="18"/>
  <c r="W4" i="18"/>
  <c r="X4" i="18"/>
  <c r="Y4" i="18"/>
  <c r="Z4" i="18"/>
  <c r="S3" i="18"/>
  <c r="T3" i="18"/>
  <c r="V3" i="18"/>
  <c r="W3" i="18"/>
  <c r="X3" i="18"/>
  <c r="Y3" i="18"/>
  <c r="Z3" i="18"/>
  <c r="I4" i="19"/>
  <c r="G4" i="19"/>
  <c r="G3" i="19"/>
  <c r="E4" i="19" s="1"/>
  <c r="E3" i="19"/>
  <c r="C3" i="19" s="1"/>
  <c r="I4" i="20"/>
  <c r="G4" i="20"/>
  <c r="G3" i="20"/>
  <c r="E4" i="20" s="1"/>
  <c r="C3" i="20" s="1"/>
  <c r="E3" i="20"/>
  <c r="I4" i="21"/>
  <c r="G4" i="21"/>
  <c r="U3" i="18" s="1"/>
  <c r="G3" i="21"/>
  <c r="E4" i="21" s="1"/>
  <c r="C3" i="21" s="1"/>
  <c r="E3" i="21"/>
  <c r="I4" i="22"/>
  <c r="G4" i="22"/>
  <c r="E4" i="22"/>
  <c r="G3" i="22"/>
  <c r="E3" i="22"/>
  <c r="V2" i="18" s="1"/>
  <c r="C3" i="22"/>
  <c r="I4" i="23"/>
  <c r="G4" i="23"/>
  <c r="G3" i="23"/>
  <c r="E4" i="23" s="1"/>
  <c r="E3" i="23"/>
  <c r="I4" i="24"/>
  <c r="G4" i="24"/>
  <c r="G3" i="24"/>
  <c r="E4" i="24" s="1"/>
  <c r="E3" i="24"/>
  <c r="C3" i="24" s="1"/>
  <c r="I4" i="25"/>
  <c r="G4" i="25"/>
  <c r="G3" i="25"/>
  <c r="E4" i="25" s="1"/>
  <c r="E3" i="25"/>
  <c r="I4" i="26"/>
  <c r="G4" i="26"/>
  <c r="E4" i="26"/>
  <c r="G3" i="26"/>
  <c r="E3" i="26"/>
  <c r="C3" i="26"/>
  <c r="I4" i="29"/>
  <c r="G4" i="29"/>
  <c r="AD3" i="18" s="1"/>
  <c r="G3" i="29"/>
  <c r="E4" i="29" s="1"/>
  <c r="E3" i="29"/>
  <c r="I4" i="28"/>
  <c r="G4" i="28"/>
  <c r="AC3" i="18" s="1"/>
  <c r="G3" i="28"/>
  <c r="E4" i="28" s="1"/>
  <c r="E3" i="28"/>
  <c r="I4" i="8"/>
  <c r="G4" i="8"/>
  <c r="AB3" i="18" s="1"/>
  <c r="G3" i="8"/>
  <c r="E4" i="8" s="1"/>
  <c r="E3" i="8"/>
  <c r="E3" i="27"/>
  <c r="G4" i="27"/>
  <c r="AA3" i="18" s="1"/>
  <c r="AA5" i="18" s="1"/>
  <c r="G3" i="27"/>
  <c r="AA4" i="18" s="1"/>
  <c r="I4" i="27"/>
  <c r="X2" i="18"/>
  <c r="Y2" i="18"/>
  <c r="S2" i="18"/>
  <c r="S20" i="18"/>
  <c r="T20" i="18"/>
  <c r="U20" i="18"/>
  <c r="V20" i="18"/>
  <c r="S21" i="18"/>
  <c r="T21" i="18"/>
  <c r="U21" i="18"/>
  <c r="V21" i="18"/>
  <c r="S22" i="18"/>
  <c r="T22" i="18"/>
  <c r="U22" i="18"/>
  <c r="V22" i="18"/>
  <c r="U4" i="18" l="1"/>
  <c r="U5" i="18" s="1"/>
  <c r="AD4" i="18"/>
  <c r="AD5" i="18" s="1"/>
  <c r="C3" i="28"/>
  <c r="AC4" i="18"/>
  <c r="AC5" i="18" s="1"/>
  <c r="AB4" i="18"/>
  <c r="AB5" i="18" s="1"/>
  <c r="E4" i="27"/>
  <c r="C3" i="27"/>
  <c r="C3" i="29"/>
  <c r="AD2" i="18"/>
  <c r="C3" i="25"/>
  <c r="C3" i="23"/>
  <c r="C3" i="8"/>
  <c r="AB2" i="18"/>
  <c r="AC2" i="18"/>
  <c r="W2" i="18"/>
  <c r="AA2" i="18"/>
  <c r="U2" i="18"/>
  <c r="Z2" i="18"/>
  <c r="T2" i="18"/>
</calcChain>
</file>

<file path=xl/sharedStrings.xml><?xml version="1.0" encoding="utf-8"?>
<sst xmlns="http://schemas.openxmlformats.org/spreadsheetml/2006/main" count="253" uniqueCount="87">
  <si>
    <t>Crédito - Nubank</t>
  </si>
  <si>
    <t>Receita</t>
  </si>
  <si>
    <t>Crédito - Samsung</t>
  </si>
  <si>
    <t>Gasto</t>
  </si>
  <si>
    <t>Débito - Nubank</t>
  </si>
  <si>
    <t>Custo</t>
  </si>
  <si>
    <t>Assinatura</t>
  </si>
  <si>
    <t>Débito - Samsung</t>
  </si>
  <si>
    <t>Dinheiro</t>
  </si>
  <si>
    <t>Pix</t>
  </si>
  <si>
    <t>Transferência</t>
  </si>
  <si>
    <t>Presentes</t>
  </si>
  <si>
    <t>Salário</t>
  </si>
  <si>
    <t>Tipo Pagamento</t>
  </si>
  <si>
    <t>Tipo Transação</t>
  </si>
  <si>
    <t>Categoria</t>
  </si>
  <si>
    <t>Forma de Pagamento</t>
  </si>
  <si>
    <t>Valor</t>
  </si>
  <si>
    <t>Data</t>
  </si>
  <si>
    <t>Tipo</t>
  </si>
  <si>
    <t>Descrição</t>
  </si>
  <si>
    <t>Boleto</t>
  </si>
  <si>
    <t>Carnê</t>
  </si>
  <si>
    <t>Parcelas</t>
  </si>
  <si>
    <t>à Vista</t>
  </si>
  <si>
    <t>SALDO FINAL</t>
  </si>
  <si>
    <t>Empréstimos a Receber</t>
  </si>
  <si>
    <t>Educação</t>
  </si>
  <si>
    <t>Renda Extra</t>
  </si>
  <si>
    <t>Empréstimos a Pagar</t>
  </si>
  <si>
    <t>Compras (Roupas, Eletrônicos, Etc)</t>
  </si>
  <si>
    <t>Lazer (Viagens, Jogos, Livros, Atividades Culturais)</t>
  </si>
  <si>
    <t>Saúde (Remédios, Planos, Consultas, Etc)</t>
  </si>
  <si>
    <t>Transporte (Combustível, Pedágios, Etc)</t>
  </si>
  <si>
    <t>Manutenção (Carro, Eletronicos, Móveis, Etc)</t>
  </si>
  <si>
    <t>Alimentação (Mercado, Restaurantes, Marmitas, Etc)</t>
  </si>
  <si>
    <t>TOTAL DE RECEITAS</t>
  </si>
  <si>
    <t>TOTAL DE DESPESAS</t>
  </si>
  <si>
    <t>TOTAL DE CUSTOS</t>
  </si>
  <si>
    <t>TOTAL DE GASTOS</t>
  </si>
  <si>
    <t>Crédito - Santander</t>
  </si>
  <si>
    <t>Débito - Santander</t>
  </si>
  <si>
    <t>Débito - Banco do Brasil</t>
  </si>
  <si>
    <t>Débito - Bradesco</t>
  </si>
  <si>
    <t>Crédito - C6</t>
  </si>
  <si>
    <t>Débito C6</t>
  </si>
  <si>
    <t>Débito - Neon</t>
  </si>
  <si>
    <t>Crédito - Banco do Brasil</t>
  </si>
  <si>
    <t>Crédito - Neon</t>
  </si>
  <si>
    <t>Outro</t>
  </si>
  <si>
    <t>Forma da Transação</t>
  </si>
  <si>
    <t>INSIRA SUA TRANSAÇÃO RÁPIDA</t>
  </si>
  <si>
    <t>Gastos</t>
  </si>
  <si>
    <t>Custos</t>
  </si>
  <si>
    <t>Despesa Tot</t>
  </si>
  <si>
    <t>Crédito - Bradesco</t>
  </si>
  <si>
    <t>Faturas Do Mês</t>
  </si>
  <si>
    <t>Multas e Dívidas</t>
  </si>
  <si>
    <t>TRANSAÇÃO</t>
  </si>
  <si>
    <t>TRANSAÇÕES MENSAIS - SETEMBRO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</si>
  <si>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</si>
  <si>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</si>
  <si>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</si>
  <si>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</si>
  <si>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</si>
  <si>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</si>
  <si>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</si>
  <si>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</si>
  <si>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</si>
  <si>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</si>
  <si>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</si>
  <si>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</si>
  <si>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Economias</t>
  </si>
  <si>
    <t>Investimento</t>
  </si>
  <si>
    <t>Reserva</t>
  </si>
  <si>
    <t xml:space="preserve">Cuidados Pessoais </t>
  </si>
  <si>
    <t>TRANSAÇÕES MENSAIS - DEZEMBRO</t>
  </si>
  <si>
    <t>TRANSAÇÕES MENSAIS - NOVEMBRO</t>
  </si>
  <si>
    <t>TRANSAÇÕES MENSAIS - OUTUBRO</t>
  </si>
  <si>
    <t>TRANSAÇÕES MENSAIS - JULHO</t>
  </si>
  <si>
    <t>TRANSAÇÕES MENSAIS - AGOSTO</t>
  </si>
  <si>
    <t>TRANSAÇÕES MENSAIS - JUNHO</t>
  </si>
  <si>
    <t>TRANSAÇÕES MENSAIS - MAIO</t>
  </si>
  <si>
    <t>TRANSAÇÕES MENSAIS - ABRIL</t>
  </si>
  <si>
    <t>TRANSAÇÕES MENSAIS - MARÇO</t>
  </si>
  <si>
    <t>TRANSAÇÕES MENSAIS - FEVEREIRO</t>
  </si>
  <si>
    <t>TRANSAÇÕES MENSAIS - JANEIRO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</si>
</sst>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[$R$-416]\ * #,##0.00_-;\-[$R$-416]\ * #,##0.00_-;_-[$R$-416]\ * &quot;-&quot;??_-;_-@"/>
    <numFmt numFmtId="165" formatCode="_-&quot;R$&quot;\ * #,##0.00_-;\-&quot;R$&quot;\ * #,##0.00_-;_-&quot;R$&quot;\ * &quot;-&quot;??_-;_-@"/>
    <numFmt numFmtId="166" formatCode="_-[$R$-416]\ * #,##0.00_-;\-[$R$-416]\ * #,##0.00_-;_-[$R$-416]\ * &quot;-&quot;??_-;_-@_-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22"/>
      <color theme="0"/>
      <name val="Calibri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0"/>
      <name val="Montserrat"/>
    </font>
    <font>
      <sz val="22"/>
      <color theme="0"/>
      <name val="Montserrat"/>
    </font>
    <font>
      <sz val="11"/>
      <color theme="1"/>
      <name val="Montserrat"/>
    </font>
    <font>
      <sz val="11"/>
      <color theme="0"/>
      <name val="Montserrat"/>
    </font>
    <font>
      <b/>
      <sz val="11"/>
      <color theme="0"/>
      <name val="Montserrat"/>
    </font>
    <font>
      <b/>
      <sz val="22"/>
      <color rgb="FFEDE4E2"/>
      <name val="Montserrat"/>
    </font>
    <font>
      <sz val="11"/>
      <color rgb="FFEDE4E2"/>
      <name val="Montserrat"/>
    </font>
    <font>
      <b/>
      <sz val="11"/>
      <color rgb="FFEDE4E2"/>
      <name val="Montserrat"/>
    </font>
    <font>
      <sz val="16"/>
      <color rgb="FFEDE4E2"/>
      <name val="Montserrat"/>
    </font>
    <font>
      <b/>
      <sz val="13"/>
      <color rgb="FFEDE4E2"/>
      <name val="Montserrat"/>
    </font>
    <font>
      <sz val="11"/>
      <color theme="1" tint="0.14999847407452621"/>
      <name val="Calibri"/>
      <family val="2"/>
      <scheme val="minor"/>
    </font>
    <font>
      <sz val="10"/>
      <color theme="1" tint="0.14999847407452621"/>
      <name val="Arial Unicode MS"/>
    </font>
    <font>
      <sz val="11"/>
      <color theme="1" tint="0.14999847407452621"/>
      <name val="Calibri"/>
      <family val="2"/>
    </font>
    <font>
      <sz val="22"/>
      <color rgb="FFEDE4E2"/>
      <name val="Montserrat"/>
    </font>
    <font>
      <b/>
      <sz val="18"/>
      <color rgb="FFEDE4E2"/>
      <name val="Montserrat"/>
    </font>
    <font>
      <sz val="13"/>
      <color rgb="FFEDE4E2"/>
      <name val="Montserrat"/>
    </font>
    <font>
      <sz val="13"/>
      <color theme="0"/>
      <name val="Montserrat"/>
    </font>
    <font>
      <sz val="14"/>
      <color rgb="FFEDE4E2"/>
      <name val="Montserrat"/>
    </font>
    <font>
      <sz val="11"/>
      <color rgb="FFEDE4E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3B3B3B"/>
        <bgColor indexed="64"/>
      </patternFill>
    </fill>
    <fill>
      <patternFill patternType="solid">
        <fgColor rgb="FF545569"/>
        <bgColor rgb="FF004AAD"/>
      </patternFill>
    </fill>
    <fill>
      <patternFill patternType="solid">
        <fgColor rgb="FF262538"/>
        <bgColor indexed="64"/>
      </patternFill>
    </fill>
    <fill>
      <patternFill patternType="solid">
        <fgColor rgb="FF1B1A28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02020"/>
        <bgColor rgb="FF004AAD"/>
      </patternFill>
    </fill>
    <fill>
      <patternFill patternType="solid">
        <fgColor rgb="FF545569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rgb="FFEDE4E2"/>
      </left>
      <right/>
      <top style="thin">
        <color rgb="FFEDE4E2"/>
      </top>
      <bottom/>
      <diagonal/>
    </border>
    <border>
      <left/>
      <right/>
      <top style="thin">
        <color rgb="FFEDE4E2"/>
      </top>
      <bottom/>
      <diagonal/>
    </border>
    <border>
      <left/>
      <right style="thin">
        <color rgb="FFEDE4E2"/>
      </right>
      <top style="thin">
        <color rgb="FFEDE4E2"/>
      </top>
      <bottom/>
      <diagonal/>
    </border>
    <border>
      <left style="thin">
        <color rgb="FFEDE4E2"/>
      </left>
      <right/>
      <top/>
      <bottom style="thin">
        <color theme="1" tint="0.499984740745262"/>
      </bottom>
      <diagonal/>
    </border>
    <border>
      <left/>
      <right style="thin">
        <color rgb="FFEDE4E2"/>
      </right>
      <top/>
      <bottom style="thin">
        <color theme="1" tint="0.499984740745262"/>
      </bottom>
      <diagonal/>
    </border>
    <border>
      <left style="thin">
        <color rgb="FFEDE4E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rgb="FFEDE4E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EDE4E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rgb="FFEDE4E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rgb="FFEDE4E2"/>
      </right>
      <top style="thin">
        <color theme="1" tint="0.499984740745262"/>
      </top>
      <bottom/>
      <diagonal/>
    </border>
    <border>
      <left style="thin">
        <color rgb="FFEDE4E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rgb="FFEDE4E2"/>
      </right>
      <top/>
      <bottom/>
      <diagonal/>
    </border>
    <border>
      <left style="thin">
        <color rgb="FFEDE4E2"/>
      </left>
      <right style="thin">
        <color theme="1" tint="0.499984740745262"/>
      </right>
      <top/>
      <bottom style="thin">
        <color rgb="FFEDE4E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rgb="FFEDE4E2"/>
      </bottom>
      <diagonal/>
    </border>
    <border>
      <left style="thin">
        <color theme="1" tint="0.499984740745262"/>
      </left>
      <right style="thin">
        <color rgb="FFEDE4E2"/>
      </right>
      <top/>
      <bottom style="thin">
        <color rgb="FFEDE4E2"/>
      </bottom>
      <diagonal/>
    </border>
    <border>
      <left style="thin">
        <color rgb="FFEDE4E2"/>
      </left>
      <right style="thin">
        <color theme="1" tint="0.499984740745262"/>
      </right>
      <top style="thin">
        <color rgb="FFEDE4E2"/>
      </top>
      <bottom/>
      <diagonal/>
    </border>
    <border>
      <left style="thin">
        <color theme="1" tint="0.499984740745262"/>
      </left>
      <right/>
      <top style="thin">
        <color rgb="FFEDE4E2"/>
      </top>
      <bottom/>
      <diagonal/>
    </border>
    <border>
      <left/>
      <right style="thin">
        <color theme="1" tint="0.499984740745262"/>
      </right>
      <top/>
      <bottom style="thin">
        <color rgb="FFEDE4E2"/>
      </bottom>
      <diagonal/>
    </border>
    <border>
      <left style="thin">
        <color rgb="FFEDE4E2"/>
      </left>
      <right/>
      <top/>
      <bottom/>
      <diagonal/>
    </border>
    <border>
      <left style="thin">
        <color rgb="FFEDE4E2"/>
      </left>
      <right/>
      <top/>
      <bottom style="thin">
        <color rgb="FFEDE4E2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4">
    <xf numFmtId="0" fontId="0" fillId="0" borderId="0" xfId="0"/>
    <xf numFmtId="0" fontId="1" fillId="0" borderId="0" xfId="0" applyFont="1"/>
    <xf numFmtId="0" fontId="3" fillId="0" borderId="2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2" fillId="0" borderId="4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/>
    <xf numFmtId="0" fontId="0" fillId="0" borderId="3" xfId="0" applyBorder="1"/>
    <xf numFmtId="0" fontId="0" fillId="2" borderId="0" xfId="0" applyFill="1"/>
    <xf numFmtId="0" fontId="4" fillId="7" borderId="0" xfId="0" applyFont="1" applyFill="1" applyAlignment="1">
      <alignment vertical="center"/>
    </xf>
    <xf numFmtId="0" fontId="0" fillId="6" borderId="0" xfId="0" applyFill="1"/>
    <xf numFmtId="44" fontId="0" fillId="6" borderId="0" xfId="1" applyFont="1" applyFill="1" applyBorder="1" applyAlignment="1">
      <alignment horizontal="center" vertical="center"/>
    </xf>
    <xf numFmtId="44" fontId="0" fillId="6" borderId="0" xfId="1" applyFont="1" applyFill="1" applyBorder="1" applyAlignment="1">
      <alignment vertical="center"/>
    </xf>
    <xf numFmtId="0" fontId="14" fillId="4" borderId="6" xfId="0" applyFont="1" applyFill="1" applyBorder="1" applyAlignment="1">
      <alignment horizontal="center"/>
    </xf>
    <xf numFmtId="0" fontId="13" fillId="4" borderId="6" xfId="0" applyFont="1" applyFill="1" applyBorder="1"/>
    <xf numFmtId="0" fontId="10" fillId="6" borderId="8" xfId="0" applyFont="1" applyFill="1" applyBorder="1" applyAlignment="1">
      <alignment horizontal="left"/>
    </xf>
    <xf numFmtId="0" fontId="13" fillId="6" borderId="8" xfId="0" applyFont="1" applyFill="1" applyBorder="1" applyAlignment="1">
      <alignment horizontal="left"/>
    </xf>
    <xf numFmtId="0" fontId="10" fillId="6" borderId="8" xfId="0" applyFont="1" applyFill="1" applyBorder="1"/>
    <xf numFmtId="0" fontId="14" fillId="4" borderId="9" xfId="0" applyFont="1" applyFill="1" applyBorder="1" applyAlignment="1">
      <alignment horizontal="center"/>
    </xf>
    <xf numFmtId="0" fontId="14" fillId="6" borderId="8" xfId="0" applyFont="1" applyFill="1" applyBorder="1" applyAlignment="1">
      <alignment horizontal="left" vertical="center"/>
    </xf>
    <xf numFmtId="0" fontId="11" fillId="6" borderId="8" xfId="0" applyFont="1" applyFill="1" applyBorder="1" applyAlignment="1">
      <alignment horizontal="left" vertical="center"/>
    </xf>
    <xf numFmtId="0" fontId="11" fillId="6" borderId="8" xfId="0" applyFont="1" applyFill="1" applyBorder="1" applyAlignment="1">
      <alignment horizontal="left"/>
    </xf>
    <xf numFmtId="164" fontId="13" fillId="6" borderId="8" xfId="0" applyNumberFormat="1" applyFont="1" applyFill="1" applyBorder="1" applyAlignment="1">
      <alignment horizontal="center" vertical="center"/>
    </xf>
    <xf numFmtId="164" fontId="10" fillId="6" borderId="8" xfId="0" applyNumberFormat="1" applyFont="1" applyFill="1" applyBorder="1" applyAlignment="1">
      <alignment horizontal="center" vertical="center"/>
    </xf>
    <xf numFmtId="164" fontId="10" fillId="6" borderId="8" xfId="0" applyNumberFormat="1" applyFont="1" applyFill="1" applyBorder="1" applyAlignment="1">
      <alignment horizontal="center"/>
    </xf>
    <xf numFmtId="14" fontId="13" fillId="6" borderId="8" xfId="0" applyNumberFormat="1" applyFont="1" applyFill="1" applyBorder="1" applyAlignment="1">
      <alignment horizontal="center" vertical="center"/>
    </xf>
    <xf numFmtId="14" fontId="10" fillId="6" borderId="8" xfId="0" applyNumberFormat="1" applyFont="1" applyFill="1" applyBorder="1" applyAlignment="1">
      <alignment horizontal="center" vertical="center"/>
    </xf>
    <xf numFmtId="14" fontId="10" fillId="6" borderId="8" xfId="0" applyNumberFormat="1" applyFont="1" applyFill="1" applyBorder="1" applyAlignment="1">
      <alignment horizontal="center"/>
    </xf>
    <xf numFmtId="0" fontId="10" fillId="6" borderId="8" xfId="0" applyFont="1" applyFill="1" applyBorder="1" applyAlignment="1">
      <alignment horizontal="center"/>
    </xf>
    <xf numFmtId="0" fontId="13" fillId="6" borderId="8" xfId="0" applyFont="1" applyFill="1" applyBorder="1" applyAlignment="1">
      <alignment horizontal="center" vertical="center"/>
    </xf>
    <xf numFmtId="0" fontId="13" fillId="6" borderId="8" xfId="0" applyFont="1" applyFill="1" applyBorder="1" applyAlignment="1">
      <alignment horizontal="center"/>
    </xf>
    <xf numFmtId="0" fontId="10" fillId="6" borderId="8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left"/>
    </xf>
    <xf numFmtId="0" fontId="13" fillId="6" borderId="8" xfId="0" applyFont="1" applyFill="1" applyBorder="1"/>
    <xf numFmtId="164" fontId="15" fillId="5" borderId="5" xfId="0" applyNumberFormat="1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164" fontId="10" fillId="6" borderId="8" xfId="0" applyNumberFormat="1" applyFont="1" applyFill="1" applyBorder="1"/>
    <xf numFmtId="0" fontId="7" fillId="6" borderId="8" xfId="0" applyFont="1" applyFill="1" applyBorder="1" applyAlignment="1">
      <alignment horizontal="left" vertical="center"/>
    </xf>
    <xf numFmtId="0" fontId="8" fillId="6" borderId="8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8" fillId="6" borderId="8" xfId="0" applyFont="1" applyFill="1" applyBorder="1" applyAlignment="1">
      <alignment horizontal="center" vertical="center"/>
    </xf>
    <xf numFmtId="0" fontId="9" fillId="6" borderId="7" xfId="0" applyFont="1" applyFill="1" applyBorder="1"/>
    <xf numFmtId="0" fontId="9" fillId="6" borderId="8" xfId="0" applyFont="1" applyFill="1" applyBorder="1"/>
    <xf numFmtId="0" fontId="0" fillId="6" borderId="7" xfId="0" applyFill="1" applyBorder="1"/>
    <xf numFmtId="0" fontId="0" fillId="6" borderId="8" xfId="0" applyFill="1" applyBorder="1"/>
    <xf numFmtId="0" fontId="7" fillId="6" borderId="7" xfId="0" applyFont="1" applyFill="1" applyBorder="1" applyAlignment="1">
      <alignment horizontal="left" vertical="center"/>
    </xf>
    <xf numFmtId="165" fontId="10" fillId="6" borderId="8" xfId="0" applyNumberFormat="1" applyFont="1" applyFill="1" applyBorder="1" applyAlignment="1">
      <alignment horizontal="left"/>
    </xf>
    <xf numFmtId="0" fontId="13" fillId="6" borderId="7" xfId="0" applyFont="1" applyFill="1" applyBorder="1" applyAlignment="1">
      <alignment horizontal="left" vertical="center"/>
    </xf>
    <xf numFmtId="0" fontId="10" fillId="6" borderId="7" xfId="0" applyFont="1" applyFill="1" applyBorder="1" applyAlignment="1">
      <alignment horizontal="left" vertical="center"/>
    </xf>
    <xf numFmtId="0" fontId="6" fillId="6" borderId="7" xfId="0" applyFont="1" applyFill="1" applyBorder="1"/>
    <xf numFmtId="0" fontId="17" fillId="6" borderId="0" xfId="0" applyFont="1" applyFill="1"/>
    <xf numFmtId="0" fontId="17" fillId="6" borderId="0" xfId="0" applyFont="1" applyFill="1" applyAlignment="1">
      <alignment vertical="center" wrapText="1"/>
    </xf>
    <xf numFmtId="44" fontId="17" fillId="6" borderId="0" xfId="1" applyFont="1" applyFill="1" applyAlignment="1">
      <alignment vertical="center" wrapText="1"/>
    </xf>
    <xf numFmtId="44" fontId="17" fillId="6" borderId="0" xfId="1" applyFont="1" applyFill="1"/>
    <xf numFmtId="0" fontId="17" fillId="6" borderId="0" xfId="0" applyFont="1" applyFill="1" applyAlignment="1">
      <alignment horizontal="left"/>
    </xf>
    <xf numFmtId="44" fontId="18" fillId="6" borderId="0" xfId="1" applyFont="1" applyFill="1" applyAlignment="1">
      <alignment vertical="center" wrapText="1"/>
    </xf>
    <xf numFmtId="0" fontId="19" fillId="6" borderId="0" xfId="0" applyFont="1" applyFill="1" applyAlignment="1">
      <alignment horizontal="left"/>
    </xf>
    <xf numFmtId="16" fontId="10" fillId="6" borderId="8" xfId="0" applyNumberFormat="1" applyFont="1" applyFill="1" applyBorder="1" applyAlignment="1">
      <alignment horizontal="center"/>
    </xf>
    <xf numFmtId="165" fontId="13" fillId="6" borderId="8" xfId="0" applyNumberFormat="1" applyFont="1" applyFill="1" applyBorder="1" applyAlignment="1">
      <alignment horizontal="center"/>
    </xf>
    <xf numFmtId="0" fontId="20" fillId="6" borderId="8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left"/>
    </xf>
    <xf numFmtId="164" fontId="13" fillId="6" borderId="8" xfId="0" applyNumberFormat="1" applyFont="1" applyFill="1" applyBorder="1" applyAlignment="1">
      <alignment horizontal="center"/>
    </xf>
    <xf numFmtId="14" fontId="13" fillId="6" borderId="8" xfId="0" applyNumberFormat="1" applyFont="1" applyFill="1" applyBorder="1" applyAlignment="1">
      <alignment horizontal="center"/>
    </xf>
    <xf numFmtId="0" fontId="20" fillId="6" borderId="8" xfId="0" applyFont="1" applyFill="1" applyBorder="1" applyAlignment="1">
      <alignment vertical="center"/>
    </xf>
    <xf numFmtId="0" fontId="12" fillId="6" borderId="8" xfId="0" applyFont="1" applyFill="1" applyBorder="1" applyAlignment="1">
      <alignment vertical="center"/>
    </xf>
    <xf numFmtId="164" fontId="22" fillId="5" borderId="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center" vertical="center"/>
    </xf>
    <xf numFmtId="0" fontId="16" fillId="4" borderId="10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13" fillId="6" borderId="0" xfId="0" applyFont="1" applyFill="1"/>
    <xf numFmtId="0" fontId="24" fillId="5" borderId="0" xfId="0" applyFont="1" applyFill="1" applyAlignment="1">
      <alignment vertical="center"/>
    </xf>
    <xf numFmtId="14" fontId="24" fillId="5" borderId="0" xfId="0" applyNumberFormat="1" applyFont="1" applyFill="1" applyAlignment="1">
      <alignment horizontal="center" vertical="center"/>
    </xf>
    <xf numFmtId="44" fontId="24" fillId="5" borderId="0" xfId="1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164" fontId="13" fillId="6" borderId="8" xfId="0" applyNumberFormat="1" applyFont="1" applyFill="1" applyBorder="1"/>
    <xf numFmtId="0" fontId="20" fillId="6" borderId="7" xfId="0" applyFont="1" applyFill="1" applyBorder="1" applyAlignment="1">
      <alignment horizontal="left" vertical="center"/>
    </xf>
    <xf numFmtId="0" fontId="13" fillId="6" borderId="8" xfId="0" applyFont="1" applyFill="1" applyBorder="1" applyAlignment="1">
      <alignment horizontal="left" vertical="center"/>
    </xf>
    <xf numFmtId="0" fontId="10" fillId="6" borderId="8" xfId="0" applyFont="1" applyFill="1" applyBorder="1" applyAlignment="1">
      <alignment horizontal="left" vertical="center"/>
    </xf>
    <xf numFmtId="0" fontId="8" fillId="6" borderId="8" xfId="0" applyFont="1" applyFill="1" applyBorder="1" applyAlignment="1">
      <alignment horizontal="left" vertical="center"/>
    </xf>
    <xf numFmtId="0" fontId="20" fillId="6" borderId="8" xfId="0" applyFont="1" applyFill="1" applyBorder="1" applyAlignment="1">
      <alignment horizontal="left" vertical="center"/>
    </xf>
    <xf numFmtId="165" fontId="13" fillId="6" borderId="8" xfId="0" applyNumberFormat="1" applyFont="1" applyFill="1" applyBorder="1" applyAlignment="1">
      <alignment horizontal="left"/>
    </xf>
    <xf numFmtId="165" fontId="10" fillId="6" borderId="8" xfId="0" applyNumberFormat="1" applyFont="1" applyFill="1" applyBorder="1" applyAlignment="1">
      <alignment horizontal="center"/>
    </xf>
    <xf numFmtId="0" fontId="10" fillId="6" borderId="8" xfId="0" applyFont="1" applyFill="1" applyBorder="1" applyAlignment="1">
      <alignment vertical="center"/>
    </xf>
    <xf numFmtId="165" fontId="10" fillId="6" borderId="8" xfId="0" applyNumberFormat="1" applyFont="1" applyFill="1" applyBorder="1"/>
    <xf numFmtId="14" fontId="14" fillId="6" borderId="8" xfId="0" applyNumberFormat="1" applyFont="1" applyFill="1" applyBorder="1" applyAlignment="1">
      <alignment horizontal="center" vertical="center"/>
    </xf>
    <xf numFmtId="0" fontId="6" fillId="6" borderId="0" xfId="0" applyFont="1" applyFill="1"/>
    <xf numFmtId="0" fontId="12" fillId="8" borderId="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7" fillId="6" borderId="0" xfId="0" applyFont="1" applyFill="1" applyAlignment="1">
      <alignment horizontal="center" vertical="center" wrapText="1"/>
    </xf>
    <xf numFmtId="0" fontId="12" fillId="3" borderId="16" xfId="0" applyFont="1" applyFill="1" applyBorder="1" applyAlignment="1">
      <alignment horizontal="center" vertical="center"/>
    </xf>
    <xf numFmtId="0" fontId="12" fillId="3" borderId="17" xfId="0" applyFont="1" applyFill="1" applyBorder="1" applyAlignment="1">
      <alignment horizontal="center" vertical="center"/>
    </xf>
    <xf numFmtId="0" fontId="16" fillId="4" borderId="14" xfId="0" applyFont="1" applyFill="1" applyBorder="1" applyAlignment="1">
      <alignment horizontal="center" vertical="center"/>
    </xf>
    <xf numFmtId="0" fontId="21" fillId="4" borderId="6" xfId="0" applyFont="1" applyFill="1" applyBorder="1" applyAlignment="1">
      <alignment horizontal="center" vertical="center"/>
    </xf>
    <xf numFmtId="0" fontId="21" fillId="4" borderId="15" xfId="0" applyFont="1" applyFill="1" applyBorder="1" applyAlignment="1">
      <alignment horizontal="center" vertical="center"/>
    </xf>
    <xf numFmtId="166" fontId="21" fillId="5" borderId="6" xfId="0" applyNumberFormat="1" applyFont="1" applyFill="1" applyBorder="1" applyAlignment="1">
      <alignment horizontal="center" vertical="center"/>
    </xf>
    <xf numFmtId="166" fontId="21" fillId="5" borderId="15" xfId="0" applyNumberFormat="1" applyFont="1" applyFill="1" applyBorder="1" applyAlignment="1">
      <alignment horizontal="center" vertical="center"/>
    </xf>
    <xf numFmtId="0" fontId="12" fillId="3" borderId="18" xfId="0" applyFont="1" applyFill="1" applyBorder="1" applyAlignment="1">
      <alignment horizontal="center" vertical="center"/>
    </xf>
    <xf numFmtId="0" fontId="12" fillId="3" borderId="19" xfId="0" applyFont="1" applyFill="1" applyBorder="1" applyAlignment="1">
      <alignment horizontal="center" vertical="center"/>
    </xf>
    <xf numFmtId="0" fontId="12" fillId="3" borderId="20" xfId="0" applyFont="1" applyFill="1" applyBorder="1" applyAlignment="1">
      <alignment horizontal="center" vertical="center"/>
    </xf>
    <xf numFmtId="0" fontId="12" fillId="3" borderId="21" xfId="0" applyFont="1" applyFill="1" applyBorder="1" applyAlignment="1">
      <alignment horizontal="center" vertical="center"/>
    </xf>
    <xf numFmtId="0" fontId="12" fillId="3" borderId="22" xfId="0" applyFont="1" applyFill="1" applyBorder="1" applyAlignment="1">
      <alignment horizontal="center" vertical="center"/>
    </xf>
    <xf numFmtId="0" fontId="21" fillId="4" borderId="23" xfId="0" applyFont="1" applyFill="1" applyBorder="1" applyAlignment="1">
      <alignment horizontal="center" vertical="center"/>
    </xf>
    <xf numFmtId="0" fontId="16" fillId="4" borderId="24" xfId="0" applyFont="1" applyFill="1" applyBorder="1" applyAlignment="1">
      <alignment horizontal="center" vertical="center"/>
    </xf>
    <xf numFmtId="0" fontId="21" fillId="4" borderId="25" xfId="0" applyFont="1" applyFill="1" applyBorder="1" applyAlignment="1">
      <alignment horizontal="center" vertical="center"/>
    </xf>
    <xf numFmtId="44" fontId="23" fillId="5" borderId="26" xfId="1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/>
    </xf>
    <xf numFmtId="0" fontId="13" fillId="4" borderId="27" xfId="0" applyFont="1" applyFill="1" applyBorder="1"/>
    <xf numFmtId="0" fontId="13" fillId="6" borderId="28" xfId="0" applyFont="1" applyFill="1" applyBorder="1" applyAlignment="1">
      <alignment horizontal="left"/>
    </xf>
    <xf numFmtId="0" fontId="13" fillId="6" borderId="29" xfId="0" applyFont="1" applyFill="1" applyBorder="1" applyAlignment="1">
      <alignment horizontal="left"/>
    </xf>
    <xf numFmtId="0" fontId="13" fillId="6" borderId="28" xfId="0" applyFont="1" applyFill="1" applyBorder="1" applyAlignment="1">
      <alignment horizontal="left" vertical="center"/>
    </xf>
    <xf numFmtId="0" fontId="0" fillId="6" borderId="0" xfId="0" applyFill="1" applyBorder="1"/>
    <xf numFmtId="0" fontId="13" fillId="6" borderId="29" xfId="0" applyFont="1" applyFill="1" applyBorder="1"/>
    <xf numFmtId="0" fontId="12" fillId="6" borderId="28" xfId="0" applyFont="1" applyFill="1" applyBorder="1" applyAlignment="1">
      <alignment horizontal="left" vertical="center"/>
    </xf>
    <xf numFmtId="0" fontId="13" fillId="6" borderId="30" xfId="0" applyFont="1" applyFill="1" applyBorder="1" applyAlignment="1">
      <alignment horizontal="left"/>
    </xf>
    <xf numFmtId="0" fontId="13" fillId="6" borderId="31" xfId="0" applyFont="1" applyFill="1" applyBorder="1" applyAlignment="1">
      <alignment horizontal="center"/>
    </xf>
    <xf numFmtId="0" fontId="13" fillId="6" borderId="31" xfId="0" applyFont="1" applyFill="1" applyBorder="1"/>
    <xf numFmtId="14" fontId="13" fillId="6" borderId="31" xfId="0" applyNumberFormat="1" applyFont="1" applyFill="1" applyBorder="1" applyAlignment="1">
      <alignment horizontal="center"/>
    </xf>
    <xf numFmtId="0" fontId="13" fillId="6" borderId="32" xfId="0" applyFont="1" applyFill="1" applyBorder="1"/>
    <xf numFmtId="0" fontId="25" fillId="6" borderId="33" xfId="0" applyFont="1" applyFill="1" applyBorder="1" applyAlignment="1">
      <alignment horizontal="center" vertical="center" textRotation="90"/>
    </xf>
    <xf numFmtId="0" fontId="12" fillId="3" borderId="34" xfId="0" applyFont="1" applyFill="1" applyBorder="1" applyAlignment="1">
      <alignment horizontal="center" vertical="center"/>
    </xf>
    <xf numFmtId="0" fontId="25" fillId="6" borderId="28" xfId="0" applyFont="1" applyFill="1" applyBorder="1" applyAlignment="1">
      <alignment horizontal="center" vertical="center" textRotation="90"/>
    </xf>
    <xf numFmtId="0" fontId="25" fillId="6" borderId="28" xfId="0" applyFont="1" applyFill="1" applyBorder="1" applyAlignment="1">
      <alignment horizontal="center"/>
    </xf>
    <xf numFmtId="0" fontId="25" fillId="6" borderId="30" xfId="0" applyFont="1" applyFill="1" applyBorder="1" applyAlignment="1">
      <alignment horizontal="center"/>
    </xf>
    <xf numFmtId="0" fontId="13" fillId="6" borderId="35" xfId="0" applyFont="1" applyFill="1" applyBorder="1" applyAlignment="1">
      <alignment horizontal="left"/>
    </xf>
    <xf numFmtId="0" fontId="6" fillId="6" borderId="33" xfId="0" applyFont="1" applyFill="1" applyBorder="1" applyAlignment="1">
      <alignment horizontal="center" vertical="center" textRotation="90"/>
    </xf>
    <xf numFmtId="0" fontId="6" fillId="6" borderId="28" xfId="0" applyFont="1" applyFill="1" applyBorder="1" applyAlignment="1">
      <alignment horizontal="center" vertical="center" textRotation="90"/>
    </xf>
    <xf numFmtId="0" fontId="6" fillId="6" borderId="28" xfId="0" applyFont="1" applyFill="1" applyBorder="1" applyAlignment="1">
      <alignment horizontal="center"/>
    </xf>
    <xf numFmtId="0" fontId="10" fillId="6" borderId="29" xfId="0" applyFont="1" applyFill="1" applyBorder="1" applyAlignment="1">
      <alignment horizontal="left"/>
    </xf>
    <xf numFmtId="0" fontId="10" fillId="6" borderId="29" xfId="0" applyFont="1" applyFill="1" applyBorder="1"/>
    <xf numFmtId="0" fontId="6" fillId="6" borderId="30" xfId="0" applyFont="1" applyFill="1" applyBorder="1" applyAlignment="1">
      <alignment horizontal="center"/>
    </xf>
    <xf numFmtId="0" fontId="10" fillId="6" borderId="35" xfId="0" applyFont="1" applyFill="1" applyBorder="1" applyAlignment="1">
      <alignment horizontal="left"/>
    </xf>
    <xf numFmtId="0" fontId="10" fillId="6" borderId="31" xfId="0" applyFont="1" applyFill="1" applyBorder="1"/>
    <xf numFmtId="0" fontId="10" fillId="6" borderId="31" xfId="0" applyFont="1" applyFill="1" applyBorder="1" applyAlignment="1">
      <alignment horizontal="center"/>
    </xf>
    <xf numFmtId="0" fontId="10" fillId="6" borderId="32" xfId="0" applyFont="1" applyFill="1" applyBorder="1"/>
    <xf numFmtId="0" fontId="10" fillId="6" borderId="31" xfId="0" applyFont="1" applyFill="1" applyBorder="1" applyAlignment="1">
      <alignment horizontal="left"/>
    </xf>
    <xf numFmtId="0" fontId="6" fillId="6" borderId="18" xfId="0" applyFont="1" applyFill="1" applyBorder="1" applyAlignment="1">
      <alignment horizontal="center" vertical="center" textRotation="90"/>
    </xf>
    <xf numFmtId="0" fontId="6" fillId="6" borderId="36" xfId="0" applyFont="1" applyFill="1" applyBorder="1" applyAlignment="1">
      <alignment horizontal="center" vertical="center" textRotation="90"/>
    </xf>
    <xf numFmtId="0" fontId="6" fillId="6" borderId="36" xfId="0" applyFont="1" applyFill="1" applyBorder="1" applyAlignment="1">
      <alignment horizontal="center"/>
    </xf>
    <xf numFmtId="0" fontId="6" fillId="6" borderId="37" xfId="0" applyFont="1" applyFill="1" applyBorder="1" applyAlignment="1">
      <alignment horizontal="center"/>
    </xf>
    <xf numFmtId="0" fontId="13" fillId="6" borderId="31" xfId="0" applyFont="1" applyFill="1" applyBorder="1" applyAlignment="1">
      <alignment horizontal="left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EDE4E2"/>
      <color rgb="FF202020"/>
      <color rgb="FF9BB7A0"/>
      <color rgb="FF545569"/>
      <color rgb="FF8F759F"/>
      <color rgb="FF827791"/>
      <color rgb="FFB29CA6"/>
      <color rgb="FFAA87AB"/>
      <color rgb="FF9091A6"/>
      <color rgb="FF6D6E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rgbClr val="EDE4E2"/>
                </a:solidFill>
                <a:latin typeface="Montserrat" pitchFamily="2" charset="0"/>
              </a:rPr>
              <a:t>Relação Mensal Receitas e Despesas</a:t>
            </a:r>
          </a:p>
        </c:rich>
      </c:tx>
      <c:layout>
        <c:manualLayout>
          <c:xMode val="edge"/>
          <c:yMode val="edge"/>
          <c:x val="0.39417048001060029"/>
          <c:y val="1.196358924005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741369436079533"/>
          <c:y val="0.13301821500408748"/>
          <c:w val="0.85513083700253767"/>
          <c:h val="0.717005752459109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DashBoard!$R$2</c:f>
              <c:strCache>
                <c:ptCount val="1"/>
                <c:pt idx="0">
                  <c:v>Receita</c:v>
                </c:pt>
              </c:strCache>
            </c:strRef>
          </c:tx>
          <c:spPr>
            <a:solidFill>
              <a:srgbClr val="9091A6"/>
            </a:solidFill>
            <a:ln>
              <a:noFill/>
            </a:ln>
            <a:effectLst/>
          </c:spPr>
          <c:invertIfNegative val="0"/>
          <c:dPt>
            <c:idx val="8"/>
            <c:invertIfNegative val="0"/>
            <c:bubble3D val="0"/>
            <c:spPr>
              <a:solidFill>
                <a:srgbClr val="9091A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0D51-40CF-80F3-833A821374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Montserrat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DashBoard!$S$1:$AD$1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DashBoard!$S$2:$AD$2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AD-467D-89B6-4B840EF93835}"/>
            </c:ext>
          </c:extLst>
        </c:ser>
        <c:ser>
          <c:idx val="1"/>
          <c:order val="1"/>
          <c:tx>
            <c:strRef>
              <c:f>DashBoard!$R$3</c:f>
              <c:strCache>
                <c:ptCount val="1"/>
                <c:pt idx="0">
                  <c:v>Gastos</c:v>
                </c:pt>
              </c:strCache>
            </c:strRef>
          </c:tx>
          <c:spPr>
            <a:solidFill>
              <a:srgbClr val="787DB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EDE4E2"/>
                    </a:solidFill>
                    <a:latin typeface="Montserrat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DashBoard!$S$1:$AD$1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DashBoard!$S$3:$AD$3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AD-467D-89B6-4B840EF93835}"/>
            </c:ext>
          </c:extLst>
        </c:ser>
        <c:ser>
          <c:idx val="2"/>
          <c:order val="2"/>
          <c:tx>
            <c:strRef>
              <c:f>DashBoard!$R$4</c:f>
              <c:strCache>
                <c:ptCount val="1"/>
                <c:pt idx="0">
                  <c:v>Custos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EDE4E2"/>
                    </a:solidFill>
                    <a:latin typeface="Montserrat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DashBoard!$S$1:$AD$1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DashBoard!$S$4:$AD$4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AD-467D-89B6-4B840EF93835}"/>
            </c:ext>
          </c:extLst>
        </c:ser>
        <c:ser>
          <c:idx val="3"/>
          <c:order val="3"/>
          <c:tx>
            <c:strRef>
              <c:f>DashBoard!$R$5</c:f>
              <c:strCache>
                <c:ptCount val="1"/>
                <c:pt idx="0">
                  <c:v>Despesa Tot</c:v>
                </c:pt>
              </c:strCache>
            </c:strRef>
          </c:tx>
          <c:spPr>
            <a:solidFill>
              <a:srgbClr val="82779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EDE4E2"/>
                    </a:solidFill>
                    <a:latin typeface="Montserrat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DashBoard!$S$1:$AD$1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DashBoard!$S$5:$AD$5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AD-467D-89B6-4B840EF93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22"/>
        <c:axId val="997680607"/>
        <c:axId val="997681087"/>
      </c:barChart>
      <c:catAx>
        <c:axId val="997680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EDE4E2"/>
                </a:solidFill>
                <a:latin typeface="Montserrat" pitchFamily="2" charset="0"/>
                <a:ea typeface="+mn-ea"/>
                <a:cs typeface="+mn-cs"/>
              </a:defRPr>
            </a:pPr>
            <a:endParaRPr lang="pt-BR"/>
          </a:p>
        </c:txPr>
        <c:crossAx val="997681087"/>
        <c:crosses val="autoZero"/>
        <c:auto val="1"/>
        <c:lblAlgn val="ctr"/>
        <c:lblOffset val="100"/>
        <c:noMultiLvlLbl val="0"/>
      </c:catAx>
      <c:valAx>
        <c:axId val="997681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EDE4E2"/>
                </a:solidFill>
                <a:latin typeface="Montserrat" pitchFamily="2" charset="0"/>
                <a:ea typeface="+mn-ea"/>
                <a:cs typeface="+mn-cs"/>
              </a:defRPr>
            </a:pPr>
            <a:endParaRPr lang="pt-BR"/>
          </a:p>
        </c:txPr>
        <c:crossAx val="997680607"/>
        <c:crosses val="autoZero"/>
        <c:crossBetween val="between"/>
      </c:valAx>
      <c:spPr>
        <a:noFill/>
        <a:ln>
          <a:solidFill>
            <a:schemeClr val="bg2">
              <a:lumMod val="2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43381017567146624"/>
          <c:y val="5.7119387514471702E-2"/>
          <c:w val="0.26514220566835123"/>
          <c:h val="6.552106141214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EDE4E2"/>
              </a:solidFill>
              <a:latin typeface="Montserrat" pitchFamily="2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20202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1295400</xdr:colOff>
      <xdr:row>8</xdr:row>
      <xdr:rowOff>47625</xdr:rowOff>
    </xdr:from>
    <xdr:to>
      <xdr:col>5</xdr:col>
      <xdr:colOff>3848101</xdr:colOff>
      <xdr:row>9</xdr:row>
      <xdr:rowOff>238125</xdr:rowOff>
    </xdr:to>
    <xdr:sp macro="[0]!Planilha1.AdicionarTransacao" textlink="">
      <xdr:nvSpPr>
        <xdr:cNvPr id="3" name="Retângulo 2">
          <a:extLst>
            <a:ext uri="{FF2B5EF4-FFF2-40B4-BE49-F238E27FC236}">
              <a16:creationId xmlns:a16="http://schemas.microsoft.com/office/drawing/2014/main" id="{30294345-A624-F674-C79F-58CB418774E0}"/>
            </a:ext>
          </a:extLst>
        </xdr:cNvPr>
        <xdr:cNvSpPr/>
      </xdr:nvSpPr>
      <xdr:spPr>
        <a:xfrm>
          <a:off x="5857875" y="1933575"/>
          <a:ext cx="3876676" cy="447675"/>
        </a:xfrm>
        <a:prstGeom prst="rect">
          <a:avLst/>
        </a:prstGeom>
        <a:solidFill>
          <a:srgbClr val="54556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EDE4E2"/>
              </a:solidFill>
              <a:latin typeface="Montserrat" pitchFamily="2" charset="0"/>
            </a:rPr>
            <a:t>SALVAR</a:t>
          </a:r>
          <a:r>
            <a:rPr lang="pt-BR" sz="1800" b="1" baseline="0">
              <a:solidFill>
                <a:srgbClr val="EDE4E2"/>
              </a:solidFill>
              <a:latin typeface="Montserrat" pitchFamily="2" charset="0"/>
            </a:rPr>
            <a:t> TRANSAÇÃO</a:t>
          </a:r>
          <a:endParaRPr lang="pt-BR" sz="1800" b="1">
            <a:solidFill>
              <a:srgbClr val="EDE4E2"/>
            </a:solidFill>
            <a:latin typeface="Montserrat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82826</xdr:colOff>
      <xdr:row>30</xdr:row>
      <xdr:rowOff>82826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21E9005-A291-D016-54B0-18DA7C9D0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C2:H10"/>
  <sheetViews>
    <sheetView zoomScaleNormal="100" workbookViewId="0">
      <selection activeCell="F16" sqref="F16"/>
    </sheetView>
  </sheetViews>
  <sheetFormatPr defaultRowHeight="15"/>
  <cols>
    <col min="1" max="1" width="3" style="10" customWidth="1"/>
    <col min="2" max="2" width="3.28515625" style="10" customWidth="1"/>
    <col min="3" max="3" width="37.42578125" style="10" customWidth="1"/>
    <col min="4" max="4" width="24.7109375" style="10" customWidth="1"/>
    <col min="5" max="5" width="19.85546875" style="10" bestFit="1" customWidth="1"/>
    <col min="6" max="6" width="68" style="10" customWidth="1"/>
    <col min="7" max="7" width="35.7109375" style="10" customWidth="1"/>
    <col min="8" max="8" width="25.5703125" style="10" customWidth="1"/>
    <col min="9" max="16384" width="9.140625" style="10"/>
  </cols>
  <sheetData>
    <row r="2" spans="3:8">
      <c r="C2" s="89" t="s">
        <v>51</v>
      </c>
      <c r="D2" s="89"/>
      <c r="E2" s="89"/>
      <c r="F2" s="89"/>
      <c r="G2" s="89"/>
      <c r="H2" s="89"/>
    </row>
    <row r="3" spans="3:8" ht="23.25" customHeight="1">
      <c r="C3" s="89"/>
      <c r="D3" s="89"/>
      <c r="E3" s="89"/>
      <c r="F3" s="89"/>
      <c r="G3" s="89"/>
      <c r="H3" s="89"/>
    </row>
    <row r="4" spans="3:8" ht="20.25">
      <c r="C4" s="72"/>
      <c r="D4" s="72"/>
      <c r="E4" s="72"/>
      <c r="F4" s="72"/>
      <c r="G4" s="72"/>
      <c r="H4" s="72"/>
    </row>
    <row r="5" spans="3:8">
      <c r="C5" s="90" t="s">
        <v>20</v>
      </c>
      <c r="D5" s="90" t="s">
        <v>18</v>
      </c>
      <c r="E5" s="90" t="s">
        <v>17</v>
      </c>
      <c r="F5" s="90" t="s">
        <v>15</v>
      </c>
      <c r="G5" s="90" t="s">
        <v>50</v>
      </c>
      <c r="H5" s="90" t="s">
        <v>19</v>
      </c>
    </row>
    <row r="6" spans="3:8">
      <c r="C6" s="91"/>
      <c r="D6" s="91"/>
      <c r="E6" s="91"/>
      <c r="F6" s="91"/>
      <c r="G6" s="91"/>
      <c r="H6" s="91"/>
    </row>
    <row r="7" spans="3:8" ht="24.75">
      <c r="C7" s="73"/>
      <c r="D7" s="74"/>
      <c r="E7" s="75"/>
      <c r="F7" s="76"/>
      <c r="G7" s="76"/>
      <c r="H7" s="76"/>
    </row>
    <row r="8" spans="3:8" ht="20.25">
      <c r="C8" s="72"/>
      <c r="D8" s="72"/>
      <c r="E8" s="72"/>
      <c r="F8" s="72"/>
      <c r="G8" s="72"/>
      <c r="H8" s="72"/>
    </row>
    <row r="9" spans="3:8" ht="20.25">
      <c r="C9" s="72"/>
      <c r="D9" s="72"/>
      <c r="E9" s="72"/>
      <c r="F9" s="72"/>
      <c r="G9" s="72"/>
      <c r="H9" s="72"/>
    </row>
    <row r="10" spans="3:8" ht="20.25">
      <c r="C10" s="72"/>
      <c r="D10" s="72"/>
      <c r="E10" s="72"/>
      <c r="F10" s="72"/>
      <c r="G10" s="72"/>
      <c r="H10" s="72"/>
    </row>
  </sheetData>
  <mergeCells count="7">
    <mergeCell ref="C2:H3"/>
    <mergeCell ref="C5:C6"/>
    <mergeCell ref="D5:D6"/>
    <mergeCell ref="E5:E6"/>
    <mergeCell ref="F5:F6"/>
    <mergeCell ref="G5:G6"/>
    <mergeCell ref="H5:H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E54AB2-DFFE-4CAD-A25A-F2760F9F03EB}">
          <x14:formula1>
            <xm:f>DATA!$C$2:$C$6</xm:f>
          </x14:formula1>
          <xm:sqref>H7</xm:sqref>
        </x14:dataValidation>
        <x14:dataValidation type="list" allowBlank="1" showInputMessage="1" showErrorMessage="1" xr:uid="{C73A76BE-9C25-4F2F-A07F-293CCBD5C32F}">
          <x14:formula1>
            <xm:f>DATA!$D$2:$D$17</xm:f>
          </x14:formula1>
          <xm:sqref>F7</xm:sqref>
        </x14:dataValidation>
        <x14:dataValidation type="list" allowBlank="1" showInputMessage="1" showErrorMessage="1" xr:uid="{4948AA77-5B96-44C2-8B00-7C2DE37974F8}">
          <x14:formula1>
            <xm:f>DATA!$B$2:$B$20</xm:f>
          </x14:formula1>
          <xm:sqref>G7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524A8-D7B7-408F-A6F4-4D4BE84C84D1}">
  <sheetPr codeName="Planilha3"/>
  <dimension ref="R1:AK22"/>
  <sheetViews>
    <sheetView showRowColHeaders="0" zoomScale="115" zoomScaleNormal="115" workbookViewId="0">
      <selection activeCell="R7" sqref="R7:S7"/>
    </sheetView>
  </sheetViews>
  <sheetFormatPr defaultRowHeight="15"/>
  <cols>
    <col min="1" max="18" width="9.140625" style="50"/>
    <col min="19" max="19" width="12.140625" style="50" customWidth="1"/>
    <col min="20" max="26" width="9.28515625" style="50" bestFit="1" customWidth="1"/>
    <col min="27" max="27" width="12.85546875" style="50" bestFit="1" customWidth="1"/>
    <col min="28" max="30" width="12.5703125" style="50" bestFit="1" customWidth="1"/>
    <col min="31" max="16384" width="9.140625" style="50"/>
  </cols>
  <sheetData>
    <row r="1" spans="18:37">
      <c r="S1" s="50" t="s">
        <v>60</v>
      </c>
      <c r="T1" s="50" t="s">
        <v>61</v>
      </c>
      <c r="U1" s="50" t="s">
        <v>62</v>
      </c>
      <c r="V1" s="50" t="s">
        <v>63</v>
      </c>
      <c r="W1" s="50" t="s">
        <v>64</v>
      </c>
      <c r="X1" s="50" t="s">
        <v>65</v>
      </c>
      <c r="Y1" s="50" t="s">
        <v>66</v>
      </c>
      <c r="Z1" s="50" t="s">
        <v>67</v>
      </c>
      <c r="AA1" s="50" t="s">
        <v>68</v>
      </c>
      <c r="AB1" s="50" t="s">
        <v>69</v>
      </c>
      <c r="AC1" s="50" t="s">
        <v>70</v>
      </c>
      <c r="AD1" s="50" t="s">
        <v>71</v>
      </c>
    </row>
    <row r="2" spans="18:37">
      <c r="R2" s="51" t="s">
        <v>1</v>
      </c>
      <c r="S2" s="52">
        <f>jan!E3</f>
        <v>0</v>
      </c>
      <c r="T2" s="52">
        <f>fev!E3</f>
        <v>0</v>
      </c>
      <c r="U2" s="52">
        <f>mar!E3</f>
        <v>0</v>
      </c>
      <c r="V2" s="52">
        <f>abr!E3</f>
        <v>0</v>
      </c>
      <c r="W2" s="52">
        <f>mai!E3</f>
        <v>0</v>
      </c>
      <c r="X2" s="52">
        <f>jun!E3</f>
        <v>0</v>
      </c>
      <c r="Y2" s="52">
        <f>jul!E3</f>
        <v>0</v>
      </c>
      <c r="Z2" s="52">
        <f>ago!E3</f>
        <v>0</v>
      </c>
      <c r="AA2" s="52">
        <f>set!E3</f>
        <v>0</v>
      </c>
      <c r="AB2" s="52">
        <f>out!E3</f>
        <v>0</v>
      </c>
      <c r="AC2" s="52">
        <f>nov!E3</f>
        <v>0</v>
      </c>
      <c r="AD2" s="52">
        <f>dez!E3</f>
        <v>0</v>
      </c>
      <c r="AE2" s="88"/>
      <c r="AF2" s="88"/>
    </row>
    <row r="3" spans="18:37">
      <c r="R3" s="51" t="s">
        <v>52</v>
      </c>
      <c r="S3" s="55">
        <f>jan!G4</f>
        <v>0</v>
      </c>
      <c r="T3" s="55">
        <f>fev!G4</f>
        <v>0</v>
      </c>
      <c r="U3" s="55">
        <f>mar!G4</f>
        <v>0</v>
      </c>
      <c r="V3" s="55">
        <f>abr!G4</f>
        <v>0</v>
      </c>
      <c r="W3" s="55">
        <f>mai!G4</f>
        <v>0</v>
      </c>
      <c r="X3" s="55">
        <f>jun!G4</f>
        <v>0</v>
      </c>
      <c r="Y3" s="55">
        <f>jul!G4</f>
        <v>0</v>
      </c>
      <c r="Z3" s="55">
        <f>ago!G4</f>
        <v>0</v>
      </c>
      <c r="AA3" s="55">
        <f>set!G4</f>
        <v>0</v>
      </c>
      <c r="AB3" s="55">
        <f>out!G4</f>
        <v>0</v>
      </c>
      <c r="AC3" s="55">
        <f>nov!G4</f>
        <v>0</v>
      </c>
      <c r="AD3" s="55">
        <f>dez!G4</f>
        <v>0</v>
      </c>
      <c r="AE3" s="88"/>
      <c r="AF3" s="88"/>
    </row>
    <row r="4" spans="18:37">
      <c r="R4" s="51" t="s">
        <v>53</v>
      </c>
      <c r="S4" s="55">
        <f>jan!G3</f>
        <v>0</v>
      </c>
      <c r="T4" s="55">
        <f>fev!G3</f>
        <v>0</v>
      </c>
      <c r="U4" s="55">
        <f>mar!G3</f>
        <v>0</v>
      </c>
      <c r="V4" s="55">
        <f>abr!G3</f>
        <v>0</v>
      </c>
      <c r="W4" s="55">
        <f>mai!G3</f>
        <v>0</v>
      </c>
      <c r="X4" s="55">
        <f>jun!G3</f>
        <v>0</v>
      </c>
      <c r="Y4" s="55">
        <f>jul!G3</f>
        <v>0</v>
      </c>
      <c r="Z4" s="55">
        <f>ago!G3</f>
        <v>0</v>
      </c>
      <c r="AA4" s="55">
        <f>set!G3</f>
        <v>0</v>
      </c>
      <c r="AB4" s="55">
        <f>out!G3</f>
        <v>0</v>
      </c>
      <c r="AC4" s="55">
        <f>nov!G3</f>
        <v>0</v>
      </c>
      <c r="AD4" s="55">
        <f>dez!G3</f>
        <v>0</v>
      </c>
      <c r="AE4" s="88"/>
      <c r="AF4" s="88"/>
    </row>
    <row r="5" spans="18:37" ht="30">
      <c r="R5" s="51" t="s">
        <v>54</v>
      </c>
      <c r="S5" s="53">
        <f>SUM(S3:S4)</f>
        <v>0</v>
      </c>
      <c r="T5" s="53">
        <f t="shared" ref="T5:AD5" si="0">SUM(T3:T4)</f>
        <v>0</v>
      </c>
      <c r="U5" s="53">
        <f t="shared" si="0"/>
        <v>0</v>
      </c>
      <c r="V5" s="53">
        <f t="shared" si="0"/>
        <v>0</v>
      </c>
      <c r="W5" s="53">
        <f t="shared" si="0"/>
        <v>0</v>
      </c>
      <c r="X5" s="53">
        <f t="shared" si="0"/>
        <v>0</v>
      </c>
      <c r="Y5" s="53">
        <f t="shared" si="0"/>
        <v>0</v>
      </c>
      <c r="Z5" s="53">
        <f t="shared" si="0"/>
        <v>0</v>
      </c>
      <c r="AA5" s="53">
        <f t="shared" si="0"/>
        <v>0</v>
      </c>
      <c r="AB5" s="53">
        <f t="shared" si="0"/>
        <v>0</v>
      </c>
      <c r="AC5" s="53">
        <f t="shared" si="0"/>
        <v>0</v>
      </c>
      <c r="AD5" s="53">
        <f t="shared" si="0"/>
        <v>0</v>
      </c>
      <c r="AE5" s="88"/>
      <c r="AF5" s="88"/>
    </row>
    <row r="6" spans="18:37"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</row>
    <row r="7" spans="18:37" ht="45" customHeight="1">
      <c r="R7" s="92"/>
      <c r="S7" s="92"/>
    </row>
    <row r="8" spans="18:37">
      <c r="R8" s="51"/>
    </row>
    <row r="9" spans="18:37">
      <c r="R9" s="54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</row>
    <row r="10" spans="18:37">
      <c r="R10" s="54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</row>
    <row r="11" spans="18:37">
      <c r="R11" s="54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</row>
    <row r="12" spans="18:37">
      <c r="R12" s="54"/>
      <c r="S12" s="55"/>
      <c r="T12" s="55"/>
      <c r="U12" s="55"/>
      <c r="V12" s="55"/>
      <c r="W12" s="55"/>
      <c r="X12" s="55"/>
      <c r="Y12" s="55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</row>
    <row r="13" spans="18:37">
      <c r="R13" s="56"/>
      <c r="S13" s="55"/>
      <c r="T13" s="55"/>
      <c r="U13" s="55"/>
      <c r="V13" s="55"/>
      <c r="W13" s="55"/>
      <c r="X13" s="55"/>
      <c r="Y13" s="55"/>
    </row>
    <row r="14" spans="18:37">
      <c r="R14" s="54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</row>
    <row r="15" spans="18:37">
      <c r="R15" s="54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</row>
    <row r="16" spans="18:37">
      <c r="R16" s="54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</row>
    <row r="17" spans="18:30">
      <c r="R17" s="56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</row>
    <row r="18" spans="18:30">
      <c r="R18" s="54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</row>
    <row r="19" spans="18:30">
      <c r="R19" s="54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</row>
    <row r="20" spans="18:30">
      <c r="R20" s="54" t="s">
        <v>12</v>
      </c>
      <c r="S20" s="55" t="e">
        <f>SUMIF(#REF!,DashBoard!R20,#REF!)</f>
        <v>#REF!</v>
      </c>
      <c r="T20" s="55" t="e">
        <f>SUMIF(#REF!,DashBoard!R20,#REF!)</f>
        <v>#REF!</v>
      </c>
      <c r="U20" s="55" t="e">
        <f>SUMIF(#REF!,DashBoard!R20,#REF!)</f>
        <v>#REF!</v>
      </c>
      <c r="V20" s="55" t="e">
        <f>SUMIF(#REF!,DashBoard!R20,#REF!)</f>
        <v>#REF!</v>
      </c>
      <c r="W20" s="55"/>
      <c r="X20" s="55"/>
      <c r="Y20" s="55"/>
      <c r="Z20" s="55"/>
      <c r="AA20" s="55"/>
      <c r="AB20" s="55"/>
      <c r="AC20" s="55"/>
      <c r="AD20" s="55"/>
    </row>
    <row r="21" spans="18:30">
      <c r="R21" s="54" t="s">
        <v>32</v>
      </c>
      <c r="S21" s="55" t="e">
        <f>SUMIF(#REF!,DashBoard!R21,#REF!)</f>
        <v>#REF!</v>
      </c>
      <c r="T21" s="55" t="e">
        <f>SUMIF(#REF!,DashBoard!R21,#REF!)</f>
        <v>#REF!</v>
      </c>
      <c r="U21" s="55" t="e">
        <f>SUMIF(#REF!,DashBoard!R21,#REF!)</f>
        <v>#REF!</v>
      </c>
      <c r="V21" s="55" t="e">
        <f>SUMIF(#REF!,DashBoard!R21,#REF!)</f>
        <v>#REF!</v>
      </c>
      <c r="W21" s="55"/>
      <c r="X21" s="55"/>
      <c r="Y21" s="55"/>
      <c r="Z21" s="55"/>
      <c r="AA21" s="55"/>
      <c r="AB21" s="55"/>
      <c r="AC21" s="55"/>
      <c r="AD21" s="55"/>
    </row>
    <row r="22" spans="18:30">
      <c r="R22" s="54" t="s">
        <v>33</v>
      </c>
      <c r="S22" s="55" t="e">
        <f>SUMIF(#REF!,DashBoard!R22,#REF!)</f>
        <v>#REF!</v>
      </c>
      <c r="T22" s="55" t="e">
        <f>SUMIF(#REF!,DashBoard!R22,#REF!)</f>
        <v>#REF!</v>
      </c>
      <c r="U22" s="55" t="e">
        <f>SUMIF(#REF!,DashBoard!R22,#REF!)</f>
        <v>#REF!</v>
      </c>
      <c r="V22" s="55" t="e">
        <f>SUMIF(#REF!,DashBoard!R22,#REF!)</f>
        <v>#REF!</v>
      </c>
      <c r="W22" s="55"/>
      <c r="X22" s="55"/>
      <c r="Y22" s="55"/>
      <c r="Z22" s="55"/>
      <c r="AA22" s="55"/>
      <c r="AB22" s="55"/>
      <c r="AC22" s="55"/>
      <c r="AD22" s="55"/>
    </row>
  </sheetData>
  <mergeCells count="1">
    <mergeCell ref="R7:S7"/>
  </mergeCells>
  <phoneticPr fontId="5" type="noConversion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F3C43-0D88-417D-8A45-2B5E78AC074F}">
  <sheetPr codeName="Planilha8"/>
  <dimension ref="A1:L1048576"/>
  <sheetViews>
    <sheetView zoomScale="90" zoomScaleNormal="90" workbookViewId="0">
      <selection activeCell="B3" sqref="B3:B4"/>
    </sheetView>
  </sheetViews>
  <sheetFormatPr defaultRowHeight="15"/>
  <cols>
    <col min="1" max="1" width="4.42578125" style="49" customWidth="1"/>
    <col min="2" max="2" width="40.7109375" style="43" customWidth="1"/>
    <col min="3" max="3" width="55.7109375" style="44" customWidth="1"/>
    <col min="4" max="4" width="30.7109375" style="44" customWidth="1"/>
    <col min="5" max="5" width="20.7109375" style="44" customWidth="1"/>
    <col min="6" max="6" width="30.7109375" style="44" customWidth="1"/>
    <col min="7" max="7" width="20.7109375" style="44" customWidth="1"/>
    <col min="8" max="8" width="34.7109375" style="44" customWidth="1"/>
    <col min="9" max="9" width="19.7109375" style="44" customWidth="1"/>
    <col min="10" max="10" width="10.5703125" style="10" bestFit="1" customWidth="1"/>
    <col min="11" max="12" width="9.140625" style="10"/>
    <col min="13" max="16384" width="9.140625" style="8"/>
  </cols>
  <sheetData>
    <row r="1" spans="1:10" ht="15" customHeight="1">
      <c r="A1" s="122" t="s">
        <v>58</v>
      </c>
      <c r="B1" s="123" t="s">
        <v>86</v>
      </c>
      <c r="C1" s="101"/>
      <c r="D1" s="101"/>
      <c r="E1" s="101"/>
      <c r="F1" s="101"/>
      <c r="G1" s="101"/>
      <c r="H1" s="101"/>
      <c r="I1" s="102"/>
      <c r="J1" s="9"/>
    </row>
    <row r="2" spans="1:10" ht="33.75" customHeight="1">
      <c r="A2" s="124"/>
      <c r="B2" s="93"/>
      <c r="C2" s="94"/>
      <c r="D2" s="94"/>
      <c r="E2" s="94"/>
      <c r="F2" s="94"/>
      <c r="G2" s="94"/>
      <c r="H2" s="94"/>
      <c r="I2" s="104"/>
      <c r="J2" s="9"/>
    </row>
    <row r="3" spans="1:10" ht="42.75" customHeight="1">
      <c r="A3" s="124"/>
      <c r="B3" s="96" t="s">
        <v>25</v>
      </c>
      <c r="C3" s="98">
        <f>E3-E4-(SUMIFS(E6:E105,G6:G105,"Reserva") + SUMIFS(E6:E105,G6:G105,"Investimento"))</f>
        <v>0</v>
      </c>
      <c r="D3" s="35" t="s">
        <v>36</v>
      </c>
      <c r="E3" s="65">
        <f>SUMIF(($G$6:$G$105),"Receita",($E$6:$E$105))</f>
        <v>0</v>
      </c>
      <c r="F3" s="67" t="s">
        <v>38</v>
      </c>
      <c r="G3" s="34">
        <f>SUMIF(($G$6:$G$105),"Custo",($E$6:$E$105))</f>
        <v>0</v>
      </c>
      <c r="H3" s="95" t="s">
        <v>56</v>
      </c>
      <c r="I3" s="106"/>
    </row>
    <row r="4" spans="1:10" ht="31.5" customHeight="1">
      <c r="A4" s="124"/>
      <c r="B4" s="97"/>
      <c r="C4" s="99"/>
      <c r="D4" s="35" t="s">
        <v>37</v>
      </c>
      <c r="E4" s="65">
        <f>G3+G4</f>
        <v>0</v>
      </c>
      <c r="F4" s="67" t="s">
        <v>39</v>
      </c>
      <c r="G4" s="34">
        <f>SUMIF(($G$6:$G$105),"Gasto",($E$6:$E$105))</f>
        <v>0</v>
      </c>
      <c r="H4" s="66" t="s">
        <v>0</v>
      </c>
      <c r="I4" s="108">
        <f>SUMIF(D6:D105,H4,E6:E105)</f>
        <v>0</v>
      </c>
    </row>
    <row r="5" spans="1:10" ht="23.25" customHeight="1">
      <c r="A5" s="124"/>
      <c r="B5" s="18" t="s">
        <v>20</v>
      </c>
      <c r="C5" s="13" t="s">
        <v>15</v>
      </c>
      <c r="D5" s="13" t="s">
        <v>16</v>
      </c>
      <c r="E5" s="13" t="s">
        <v>17</v>
      </c>
      <c r="F5" s="13" t="s">
        <v>18</v>
      </c>
      <c r="G5" s="13" t="s">
        <v>19</v>
      </c>
      <c r="H5" s="14"/>
      <c r="I5" s="110"/>
    </row>
    <row r="6" spans="1:10" s="10" customFormat="1" ht="20.100000000000001" customHeight="1">
      <c r="A6" s="125">
        <v>1</v>
      </c>
      <c r="B6" s="47"/>
      <c r="C6" s="29"/>
      <c r="D6" s="29"/>
      <c r="E6" s="22"/>
      <c r="F6" s="25"/>
      <c r="G6" s="29"/>
      <c r="H6" s="33"/>
      <c r="I6" s="112"/>
      <c r="J6" s="11"/>
    </row>
    <row r="7" spans="1:10" s="10" customFormat="1" ht="20.100000000000001" customHeight="1">
      <c r="A7" s="125">
        <v>2</v>
      </c>
      <c r="B7" s="47"/>
      <c r="C7" s="29"/>
      <c r="D7" s="29"/>
      <c r="E7" s="22"/>
      <c r="F7" s="25"/>
      <c r="G7" s="30"/>
      <c r="H7" s="33"/>
      <c r="I7" s="112"/>
      <c r="J7" s="12"/>
    </row>
    <row r="8" spans="1:10" s="10" customFormat="1" ht="20.100000000000001" customHeight="1">
      <c r="A8" s="125">
        <v>3</v>
      </c>
      <c r="B8" s="47"/>
      <c r="C8" s="29"/>
      <c r="D8" s="29"/>
      <c r="E8" s="22"/>
      <c r="F8" s="25"/>
      <c r="G8" s="30"/>
      <c r="H8" s="33"/>
      <c r="I8" s="112"/>
      <c r="J8" s="12"/>
    </row>
    <row r="9" spans="1:10" s="10" customFormat="1" ht="20.100000000000001" customHeight="1">
      <c r="A9" s="125">
        <v>4</v>
      </c>
      <c r="B9" s="47"/>
      <c r="C9" s="29"/>
      <c r="D9" s="29"/>
      <c r="E9" s="22"/>
      <c r="F9" s="25"/>
      <c r="G9" s="30"/>
      <c r="H9" s="33"/>
      <c r="I9" s="112"/>
      <c r="J9" s="12"/>
    </row>
    <row r="10" spans="1:10" s="10" customFormat="1" ht="20.100000000000001" customHeight="1">
      <c r="A10" s="125">
        <v>5</v>
      </c>
      <c r="B10" s="47"/>
      <c r="C10" s="29"/>
      <c r="D10" s="29"/>
      <c r="E10" s="22"/>
      <c r="F10" s="25"/>
      <c r="G10" s="30"/>
      <c r="H10" s="33"/>
      <c r="I10" s="112"/>
      <c r="J10" s="12"/>
    </row>
    <row r="11" spans="1:10" s="10" customFormat="1" ht="20.100000000000001" customHeight="1">
      <c r="A11" s="125">
        <v>6</v>
      </c>
      <c r="B11" s="47"/>
      <c r="C11" s="29"/>
      <c r="D11" s="29"/>
      <c r="E11" s="22"/>
      <c r="F11" s="25"/>
      <c r="G11" s="30"/>
      <c r="H11" s="33"/>
      <c r="I11" s="112"/>
      <c r="J11" s="12"/>
    </row>
    <row r="12" spans="1:10" s="10" customFormat="1" ht="20.100000000000001" customHeight="1">
      <c r="A12" s="125">
        <v>7</v>
      </c>
      <c r="B12" s="47"/>
      <c r="C12" s="29"/>
      <c r="D12" s="29"/>
      <c r="E12" s="22"/>
      <c r="F12" s="25"/>
      <c r="G12" s="30"/>
      <c r="H12" s="33"/>
      <c r="I12" s="112"/>
      <c r="J12" s="12"/>
    </row>
    <row r="13" spans="1:10" s="10" customFormat="1" ht="20.100000000000001" customHeight="1">
      <c r="A13" s="125">
        <v>8</v>
      </c>
      <c r="B13" s="47"/>
      <c r="C13" s="29"/>
      <c r="D13" s="29"/>
      <c r="E13" s="22"/>
      <c r="F13" s="25"/>
      <c r="G13" s="30"/>
      <c r="H13" s="33"/>
      <c r="I13" s="115"/>
    </row>
    <row r="14" spans="1:10" s="10" customFormat="1" ht="20.100000000000001" customHeight="1">
      <c r="A14" s="125">
        <v>9</v>
      </c>
      <c r="B14" s="60"/>
      <c r="C14" s="29"/>
      <c r="D14" s="29"/>
      <c r="E14" s="22"/>
      <c r="F14" s="25"/>
      <c r="G14" s="30"/>
      <c r="H14" s="33"/>
      <c r="I14" s="115"/>
    </row>
    <row r="15" spans="1:10" s="10" customFormat="1" ht="20.100000000000001" customHeight="1">
      <c r="A15" s="125">
        <v>10</v>
      </c>
      <c r="B15" s="60"/>
      <c r="C15" s="30"/>
      <c r="D15" s="30"/>
      <c r="E15" s="61"/>
      <c r="F15" s="62"/>
      <c r="G15" s="30"/>
      <c r="H15" s="33"/>
      <c r="I15" s="115"/>
    </row>
    <row r="16" spans="1:10" s="10" customFormat="1" ht="20.100000000000001" customHeight="1">
      <c r="A16" s="125">
        <v>11</v>
      </c>
      <c r="B16" s="60"/>
      <c r="C16" s="30"/>
      <c r="D16" s="29"/>
      <c r="E16" s="61"/>
      <c r="F16" s="62"/>
      <c r="G16" s="30"/>
      <c r="H16" s="33"/>
      <c r="I16" s="115"/>
    </row>
    <row r="17" spans="1:9" s="10" customFormat="1" ht="20.100000000000001" customHeight="1">
      <c r="A17" s="125">
        <v>12</v>
      </c>
      <c r="B17" s="60"/>
      <c r="C17" s="30"/>
      <c r="D17" s="30"/>
      <c r="E17" s="61"/>
      <c r="F17" s="30"/>
      <c r="G17" s="30"/>
      <c r="H17" s="33"/>
      <c r="I17" s="115"/>
    </row>
    <row r="18" spans="1:9" s="10" customFormat="1" ht="20.100000000000001" customHeight="1">
      <c r="A18" s="125">
        <v>13</v>
      </c>
      <c r="B18" s="60"/>
      <c r="C18" s="30"/>
      <c r="D18" s="30"/>
      <c r="E18" s="61"/>
      <c r="F18" s="30"/>
      <c r="G18" s="30"/>
      <c r="H18" s="33"/>
      <c r="I18" s="115"/>
    </row>
    <row r="19" spans="1:9" s="10" customFormat="1" ht="20.100000000000001" customHeight="1">
      <c r="A19" s="125">
        <v>14</v>
      </c>
      <c r="B19" s="60"/>
      <c r="C19" s="30"/>
      <c r="D19" s="30"/>
      <c r="E19" s="61"/>
      <c r="F19" s="30"/>
      <c r="G19" s="30"/>
      <c r="H19" s="33"/>
      <c r="I19" s="115"/>
    </row>
    <row r="20" spans="1:9" s="10" customFormat="1" ht="20.100000000000001" customHeight="1">
      <c r="A20" s="125">
        <v>15</v>
      </c>
      <c r="B20" s="60"/>
      <c r="C20" s="30"/>
      <c r="D20" s="29"/>
      <c r="E20" s="61"/>
      <c r="F20" s="62"/>
      <c r="G20" s="30"/>
      <c r="H20" s="33"/>
      <c r="I20" s="115"/>
    </row>
    <row r="21" spans="1:9" s="10" customFormat="1" ht="20.100000000000001" customHeight="1">
      <c r="A21" s="125">
        <v>16</v>
      </c>
      <c r="B21" s="60"/>
      <c r="C21" s="30"/>
      <c r="D21" s="29"/>
      <c r="E21" s="61"/>
      <c r="F21" s="30"/>
      <c r="G21" s="30"/>
      <c r="H21" s="33"/>
      <c r="I21" s="115"/>
    </row>
    <row r="22" spans="1:9" s="10" customFormat="1" ht="20.100000000000001" customHeight="1">
      <c r="A22" s="125">
        <v>17</v>
      </c>
      <c r="B22" s="60"/>
      <c r="C22" s="30"/>
      <c r="D22" s="30"/>
      <c r="E22" s="61"/>
      <c r="F22" s="30"/>
      <c r="G22" s="30"/>
      <c r="H22" s="33"/>
      <c r="I22" s="115"/>
    </row>
    <row r="23" spans="1:9" s="10" customFormat="1" ht="20.100000000000001" customHeight="1">
      <c r="A23" s="125">
        <v>18</v>
      </c>
      <c r="B23" s="47"/>
      <c r="C23" s="29"/>
      <c r="D23" s="29"/>
      <c r="E23" s="22"/>
      <c r="F23" s="25"/>
      <c r="G23" s="30"/>
      <c r="H23" s="33"/>
      <c r="I23" s="115"/>
    </row>
    <row r="24" spans="1:9" s="10" customFormat="1" ht="20.100000000000001" customHeight="1">
      <c r="A24" s="125">
        <v>19</v>
      </c>
      <c r="B24" s="60"/>
      <c r="C24" s="30"/>
      <c r="D24" s="30"/>
      <c r="E24" s="61"/>
      <c r="F24" s="30"/>
      <c r="G24" s="30"/>
      <c r="H24" s="33"/>
      <c r="I24" s="115"/>
    </row>
    <row r="25" spans="1:9" s="10" customFormat="1" ht="20.100000000000001" customHeight="1">
      <c r="A25" s="125">
        <v>20</v>
      </c>
      <c r="B25" s="60"/>
      <c r="C25" s="30"/>
      <c r="D25" s="30"/>
      <c r="E25" s="61"/>
      <c r="F25" s="30"/>
      <c r="G25" s="30"/>
      <c r="H25" s="33"/>
      <c r="I25" s="115"/>
    </row>
    <row r="26" spans="1:9" s="10" customFormat="1" ht="20.100000000000001" customHeight="1">
      <c r="A26" s="125">
        <v>21</v>
      </c>
      <c r="B26" s="60"/>
      <c r="C26" s="30"/>
      <c r="D26" s="30"/>
      <c r="E26" s="61"/>
      <c r="F26" s="30"/>
      <c r="G26" s="30"/>
      <c r="H26" s="33"/>
      <c r="I26" s="115"/>
    </row>
    <row r="27" spans="1:9" s="10" customFormat="1" ht="20.100000000000001" customHeight="1">
      <c r="A27" s="125">
        <v>22</v>
      </c>
      <c r="B27" s="60"/>
      <c r="C27" s="30"/>
      <c r="D27" s="30"/>
      <c r="E27" s="61"/>
      <c r="F27" s="30"/>
      <c r="G27" s="30"/>
      <c r="H27" s="33"/>
      <c r="I27" s="115"/>
    </row>
    <row r="28" spans="1:9" s="10" customFormat="1" ht="20.100000000000001" customHeight="1">
      <c r="A28" s="125">
        <v>23</v>
      </c>
      <c r="B28" s="60"/>
      <c r="C28" s="30"/>
      <c r="D28" s="30"/>
      <c r="E28" s="61"/>
      <c r="F28" s="30"/>
      <c r="G28" s="30"/>
      <c r="H28" s="33"/>
      <c r="I28" s="115"/>
    </row>
    <row r="29" spans="1:9" s="10" customFormat="1" ht="20.100000000000001" customHeight="1">
      <c r="A29" s="125">
        <v>24</v>
      </c>
      <c r="B29" s="60"/>
      <c r="C29" s="30"/>
      <c r="D29" s="30"/>
      <c r="E29" s="61"/>
      <c r="F29" s="30"/>
      <c r="G29" s="30"/>
      <c r="H29" s="33"/>
      <c r="I29" s="115"/>
    </row>
    <row r="30" spans="1:9" s="10" customFormat="1" ht="20.100000000000001" customHeight="1">
      <c r="A30" s="125">
        <v>25</v>
      </c>
      <c r="B30" s="60"/>
      <c r="C30" s="30"/>
      <c r="D30" s="29"/>
      <c r="E30" s="61"/>
      <c r="F30" s="30"/>
      <c r="G30" s="30"/>
      <c r="H30" s="33"/>
      <c r="I30" s="115"/>
    </row>
    <row r="31" spans="1:9" s="10" customFormat="1" ht="20.100000000000001" customHeight="1">
      <c r="A31" s="125">
        <v>26</v>
      </c>
      <c r="B31" s="60"/>
      <c r="C31" s="30"/>
      <c r="D31" s="30"/>
      <c r="E31" s="61"/>
      <c r="F31" s="30"/>
      <c r="G31" s="30"/>
      <c r="H31" s="33"/>
      <c r="I31" s="115"/>
    </row>
    <row r="32" spans="1:9" s="10" customFormat="1" ht="20.100000000000001" customHeight="1">
      <c r="A32" s="125">
        <v>27</v>
      </c>
      <c r="B32" s="60"/>
      <c r="C32" s="30"/>
      <c r="D32" s="30"/>
      <c r="E32" s="61"/>
      <c r="F32" s="30"/>
      <c r="G32" s="30"/>
      <c r="H32" s="33"/>
      <c r="I32" s="115"/>
    </row>
    <row r="33" spans="1:9" s="10" customFormat="1" ht="20.100000000000001" customHeight="1">
      <c r="A33" s="125">
        <v>28</v>
      </c>
      <c r="B33" s="60"/>
      <c r="C33" s="30"/>
      <c r="D33" s="30"/>
      <c r="E33" s="61"/>
      <c r="F33" s="62"/>
      <c r="G33" s="30"/>
      <c r="H33" s="33"/>
      <c r="I33" s="115"/>
    </row>
    <row r="34" spans="1:9" s="10" customFormat="1" ht="20.100000000000001" customHeight="1">
      <c r="A34" s="125">
        <v>29</v>
      </c>
      <c r="B34" s="60"/>
      <c r="C34" s="30"/>
      <c r="D34" s="30"/>
      <c r="E34" s="61"/>
      <c r="F34" s="62"/>
      <c r="G34" s="30"/>
      <c r="H34" s="33"/>
      <c r="I34" s="115"/>
    </row>
    <row r="35" spans="1:9" s="10" customFormat="1" ht="20.100000000000001" customHeight="1">
      <c r="A35" s="125">
        <v>30</v>
      </c>
      <c r="B35" s="60"/>
      <c r="C35" s="30"/>
      <c r="D35" s="30"/>
      <c r="E35" s="61"/>
      <c r="F35" s="62"/>
      <c r="G35" s="30"/>
      <c r="H35" s="33"/>
      <c r="I35" s="115"/>
    </row>
    <row r="36" spans="1:9" s="10" customFormat="1" ht="20.100000000000001" customHeight="1">
      <c r="A36" s="125">
        <v>31</v>
      </c>
      <c r="B36" s="60"/>
      <c r="C36" s="30"/>
      <c r="D36" s="30"/>
      <c r="E36" s="61"/>
      <c r="F36" s="62"/>
      <c r="G36" s="30"/>
      <c r="H36" s="33"/>
      <c r="I36" s="115"/>
    </row>
    <row r="37" spans="1:9" s="10" customFormat="1" ht="20.100000000000001" customHeight="1">
      <c r="A37" s="125">
        <v>32</v>
      </c>
      <c r="B37" s="60"/>
      <c r="C37" s="30"/>
      <c r="D37" s="33"/>
      <c r="E37" s="33"/>
      <c r="F37" s="33"/>
      <c r="G37" s="30"/>
      <c r="H37" s="33"/>
      <c r="I37" s="115"/>
    </row>
    <row r="38" spans="1:9" s="10" customFormat="1" ht="20.100000000000001" customHeight="1">
      <c r="A38" s="125">
        <v>33</v>
      </c>
      <c r="B38" s="60"/>
      <c r="C38" s="30"/>
      <c r="D38" s="33"/>
      <c r="E38" s="33"/>
      <c r="F38" s="33"/>
      <c r="G38" s="30"/>
      <c r="H38" s="33"/>
      <c r="I38" s="115"/>
    </row>
    <row r="39" spans="1:9" s="10" customFormat="1" ht="20.100000000000001" customHeight="1">
      <c r="A39" s="125">
        <v>34</v>
      </c>
      <c r="B39" s="60"/>
      <c r="C39" s="30"/>
      <c r="D39" s="33"/>
      <c r="E39" s="33"/>
      <c r="F39" s="33"/>
      <c r="G39" s="30"/>
      <c r="H39" s="33"/>
      <c r="I39" s="115"/>
    </row>
    <row r="40" spans="1:9" s="10" customFormat="1" ht="20.100000000000001" customHeight="1">
      <c r="A40" s="125">
        <v>35</v>
      </c>
      <c r="B40" s="60"/>
      <c r="C40" s="30"/>
      <c r="D40" s="33"/>
      <c r="E40" s="33"/>
      <c r="F40" s="33"/>
      <c r="G40" s="30"/>
      <c r="H40" s="33"/>
      <c r="I40" s="115"/>
    </row>
    <row r="41" spans="1:9" s="10" customFormat="1" ht="20.100000000000001" customHeight="1">
      <c r="A41" s="125">
        <v>36</v>
      </c>
      <c r="B41" s="60"/>
      <c r="C41" s="30"/>
      <c r="D41" s="33"/>
      <c r="E41" s="33"/>
      <c r="F41" s="33"/>
      <c r="G41" s="30"/>
      <c r="H41" s="33"/>
      <c r="I41" s="115"/>
    </row>
    <row r="42" spans="1:9" s="10" customFormat="1" ht="20.100000000000001" customHeight="1">
      <c r="A42" s="125">
        <v>37</v>
      </c>
      <c r="B42" s="60"/>
      <c r="C42" s="30"/>
      <c r="D42" s="33"/>
      <c r="E42" s="33"/>
      <c r="F42" s="77"/>
      <c r="G42" s="30"/>
      <c r="H42" s="33"/>
      <c r="I42" s="115"/>
    </row>
    <row r="43" spans="1:9" s="10" customFormat="1" ht="20.100000000000001" customHeight="1">
      <c r="A43" s="125">
        <v>38</v>
      </c>
      <c r="B43" s="78"/>
      <c r="C43" s="59"/>
      <c r="D43" s="63"/>
      <c r="E43" s="63"/>
      <c r="F43" s="63"/>
      <c r="G43" s="30"/>
      <c r="H43" s="33"/>
      <c r="I43" s="115"/>
    </row>
    <row r="44" spans="1:9" s="10" customFormat="1" ht="20.100000000000001" customHeight="1">
      <c r="A44" s="125">
        <v>39</v>
      </c>
      <c r="B44" s="78"/>
      <c r="C44" s="59"/>
      <c r="D44" s="63"/>
      <c r="E44" s="63"/>
      <c r="F44" s="63"/>
      <c r="G44" s="30"/>
      <c r="H44" s="33"/>
      <c r="I44" s="115"/>
    </row>
    <row r="45" spans="1:9" s="10" customFormat="1" ht="20.100000000000001" customHeight="1">
      <c r="A45" s="125">
        <v>40</v>
      </c>
      <c r="B45" s="78"/>
      <c r="C45" s="59"/>
      <c r="D45" s="63"/>
      <c r="E45" s="63"/>
      <c r="F45" s="63"/>
      <c r="G45" s="30"/>
      <c r="H45" s="33"/>
      <c r="I45" s="115"/>
    </row>
    <row r="46" spans="1:9" s="10" customFormat="1" ht="20.100000000000001" customHeight="1">
      <c r="A46" s="125">
        <v>41</v>
      </c>
      <c r="B46" s="78"/>
      <c r="C46" s="59"/>
      <c r="D46" s="63"/>
      <c r="E46" s="63"/>
      <c r="F46" s="63"/>
      <c r="G46" s="59"/>
      <c r="H46" s="33"/>
      <c r="I46" s="115"/>
    </row>
    <row r="47" spans="1:9" s="10" customFormat="1" ht="20.100000000000001" customHeight="1">
      <c r="A47" s="125">
        <v>42</v>
      </c>
      <c r="B47" s="78"/>
      <c r="C47" s="59"/>
      <c r="D47" s="63"/>
      <c r="E47" s="63"/>
      <c r="F47" s="63"/>
      <c r="G47" s="59"/>
      <c r="H47" s="33"/>
      <c r="I47" s="115"/>
    </row>
    <row r="48" spans="1:9" s="10" customFormat="1" ht="20.100000000000001" customHeight="1">
      <c r="A48" s="125">
        <v>43</v>
      </c>
      <c r="B48" s="78"/>
      <c r="C48" s="59"/>
      <c r="D48" s="63"/>
      <c r="E48" s="63"/>
      <c r="F48" s="63"/>
      <c r="G48" s="59"/>
      <c r="H48" s="33"/>
      <c r="I48" s="115"/>
    </row>
    <row r="49" spans="1:9" s="10" customFormat="1" ht="20.100000000000001" customHeight="1">
      <c r="A49" s="125">
        <v>44</v>
      </c>
      <c r="B49" s="78"/>
      <c r="C49" s="59"/>
      <c r="D49" s="63"/>
      <c r="E49" s="63"/>
      <c r="F49" s="63"/>
      <c r="G49" s="59"/>
      <c r="H49" s="33"/>
      <c r="I49" s="115"/>
    </row>
    <row r="50" spans="1:9" s="10" customFormat="1" ht="20.100000000000001" customHeight="1">
      <c r="A50" s="125">
        <v>45</v>
      </c>
      <c r="B50" s="78"/>
      <c r="C50" s="59"/>
      <c r="D50" s="63"/>
      <c r="E50" s="63"/>
      <c r="F50" s="63"/>
      <c r="G50" s="59"/>
      <c r="H50" s="33"/>
      <c r="I50" s="115"/>
    </row>
    <row r="51" spans="1:9" s="10" customFormat="1" ht="20.100000000000001" customHeight="1">
      <c r="A51" s="125">
        <v>46</v>
      </c>
      <c r="B51" s="78"/>
      <c r="C51" s="59"/>
      <c r="D51" s="63"/>
      <c r="E51" s="63"/>
      <c r="F51" s="63"/>
      <c r="G51" s="59"/>
      <c r="H51" s="33"/>
      <c r="I51" s="115"/>
    </row>
    <row r="52" spans="1:9" s="10" customFormat="1" ht="20.100000000000001" customHeight="1">
      <c r="A52" s="125">
        <v>47</v>
      </c>
      <c r="B52" s="78"/>
      <c r="C52" s="59"/>
      <c r="D52" s="63"/>
      <c r="E52" s="63"/>
      <c r="F52" s="63"/>
      <c r="G52" s="59"/>
      <c r="H52" s="33"/>
      <c r="I52" s="115"/>
    </row>
    <row r="53" spans="1:9" s="10" customFormat="1" ht="20.100000000000001" customHeight="1">
      <c r="A53" s="125">
        <v>48</v>
      </c>
      <c r="B53" s="78"/>
      <c r="C53" s="59"/>
      <c r="D53" s="63"/>
      <c r="E53" s="63"/>
      <c r="F53" s="63"/>
      <c r="G53" s="59"/>
      <c r="H53" s="33"/>
      <c r="I53" s="115"/>
    </row>
    <row r="54" spans="1:9" s="10" customFormat="1" ht="20.100000000000001" customHeight="1">
      <c r="A54" s="125">
        <v>49</v>
      </c>
      <c r="B54" s="78"/>
      <c r="C54" s="59"/>
      <c r="D54" s="63"/>
      <c r="E54" s="63"/>
      <c r="F54" s="63"/>
      <c r="G54" s="59"/>
      <c r="H54" s="33"/>
      <c r="I54" s="115"/>
    </row>
    <row r="55" spans="1:9" s="10" customFormat="1" ht="20.100000000000001" customHeight="1">
      <c r="A55" s="125">
        <v>50</v>
      </c>
      <c r="B55" s="78"/>
      <c r="C55" s="59"/>
      <c r="D55" s="63"/>
      <c r="E55" s="63"/>
      <c r="F55" s="63"/>
      <c r="G55" s="59"/>
      <c r="H55" s="33"/>
      <c r="I55" s="115"/>
    </row>
    <row r="56" spans="1:9" s="10" customFormat="1" ht="20.100000000000001" customHeight="1">
      <c r="A56" s="125">
        <v>51</v>
      </c>
      <c r="B56" s="78"/>
      <c r="C56" s="59"/>
      <c r="D56" s="63"/>
      <c r="E56" s="63"/>
      <c r="F56" s="63"/>
      <c r="G56" s="59"/>
      <c r="H56" s="33"/>
      <c r="I56" s="115"/>
    </row>
    <row r="57" spans="1:9" s="10" customFormat="1" ht="20.100000000000001" customHeight="1">
      <c r="A57" s="125">
        <v>52</v>
      </c>
      <c r="B57" s="78"/>
      <c r="C57" s="59"/>
      <c r="D57" s="63"/>
      <c r="E57" s="63"/>
      <c r="F57" s="63"/>
      <c r="G57" s="59"/>
      <c r="H57" s="33"/>
      <c r="I57" s="115"/>
    </row>
    <row r="58" spans="1:9" s="10" customFormat="1" ht="20.100000000000001" customHeight="1">
      <c r="A58" s="125">
        <v>53</v>
      </c>
      <c r="B58" s="78"/>
      <c r="C58" s="59"/>
      <c r="D58" s="63"/>
      <c r="E58" s="63"/>
      <c r="F58" s="63"/>
      <c r="G58" s="59"/>
      <c r="H58" s="33"/>
      <c r="I58" s="115"/>
    </row>
    <row r="59" spans="1:9" s="10" customFormat="1" ht="20.100000000000001" customHeight="1">
      <c r="A59" s="125">
        <v>54</v>
      </c>
      <c r="B59" s="78"/>
      <c r="C59" s="59"/>
      <c r="D59" s="63"/>
      <c r="E59" s="63"/>
      <c r="F59" s="63"/>
      <c r="G59" s="59"/>
      <c r="H59" s="33"/>
      <c r="I59" s="115"/>
    </row>
    <row r="60" spans="1:9" s="10" customFormat="1" ht="20.100000000000001" customHeight="1">
      <c r="A60" s="125">
        <v>55</v>
      </c>
      <c r="B60" s="78"/>
      <c r="C60" s="59"/>
      <c r="D60" s="63"/>
      <c r="E60" s="63"/>
      <c r="F60" s="63"/>
      <c r="G60" s="59"/>
      <c r="H60" s="33"/>
      <c r="I60" s="115"/>
    </row>
    <row r="61" spans="1:9" s="10" customFormat="1" ht="20.100000000000001" customHeight="1">
      <c r="A61" s="125">
        <v>56</v>
      </c>
      <c r="B61" s="60"/>
      <c r="C61" s="30"/>
      <c r="D61" s="33"/>
      <c r="E61" s="33"/>
      <c r="F61" s="33"/>
      <c r="G61" s="59"/>
      <c r="H61" s="33"/>
      <c r="I61" s="115"/>
    </row>
    <row r="62" spans="1:9" s="10" customFormat="1" ht="20.100000000000001" customHeight="1">
      <c r="A62" s="125">
        <v>57</v>
      </c>
      <c r="B62" s="60"/>
      <c r="C62" s="30"/>
      <c r="D62" s="33"/>
      <c r="E62" s="33"/>
      <c r="F62" s="33"/>
      <c r="G62" s="59"/>
      <c r="H62" s="33"/>
      <c r="I62" s="115"/>
    </row>
    <row r="63" spans="1:9" s="10" customFormat="1" ht="20.100000000000001" customHeight="1">
      <c r="A63" s="125">
        <v>58</v>
      </c>
      <c r="B63" s="60"/>
      <c r="C63" s="30"/>
      <c r="D63" s="33"/>
      <c r="E63" s="33"/>
      <c r="F63" s="33"/>
      <c r="G63" s="59"/>
      <c r="H63" s="33"/>
      <c r="I63" s="115"/>
    </row>
    <row r="64" spans="1:9" s="10" customFormat="1" ht="20.100000000000001" customHeight="1">
      <c r="A64" s="125">
        <v>59</v>
      </c>
      <c r="B64" s="78"/>
      <c r="C64" s="59"/>
      <c r="D64" s="63"/>
      <c r="E64" s="63"/>
      <c r="F64" s="63"/>
      <c r="G64" s="59"/>
      <c r="H64" s="33"/>
      <c r="I64" s="115"/>
    </row>
    <row r="65" spans="1:9" s="10" customFormat="1" ht="20.100000000000001" customHeight="1">
      <c r="A65" s="125">
        <v>60</v>
      </c>
      <c r="B65" s="78"/>
      <c r="C65" s="59"/>
      <c r="D65" s="63"/>
      <c r="E65" s="63"/>
      <c r="F65" s="63"/>
      <c r="G65" s="59"/>
      <c r="H65" s="33"/>
      <c r="I65" s="115"/>
    </row>
    <row r="66" spans="1:9" s="10" customFormat="1" ht="20.100000000000001" customHeight="1">
      <c r="A66" s="125">
        <v>61</v>
      </c>
      <c r="B66" s="78"/>
      <c r="C66" s="59"/>
      <c r="D66" s="63"/>
      <c r="E66" s="63"/>
      <c r="F66" s="63"/>
      <c r="G66" s="59"/>
      <c r="H66" s="33"/>
      <c r="I66" s="115"/>
    </row>
    <row r="67" spans="1:9" s="10" customFormat="1" ht="20.100000000000001" customHeight="1">
      <c r="A67" s="125">
        <v>62</v>
      </c>
      <c r="B67" s="78"/>
      <c r="C67" s="59"/>
      <c r="D67" s="63"/>
      <c r="E67" s="63"/>
      <c r="F67" s="63"/>
      <c r="G67" s="59"/>
      <c r="H67" s="33"/>
      <c r="I67" s="115"/>
    </row>
    <row r="68" spans="1:9" s="10" customFormat="1" ht="20.100000000000001" customHeight="1">
      <c r="A68" s="125">
        <v>63</v>
      </c>
      <c r="B68" s="78"/>
      <c r="C68" s="59"/>
      <c r="D68" s="63"/>
      <c r="E68" s="63"/>
      <c r="F68" s="63"/>
      <c r="G68" s="59"/>
      <c r="H68" s="33"/>
      <c r="I68" s="115"/>
    </row>
    <row r="69" spans="1:9" s="10" customFormat="1" ht="15" customHeight="1">
      <c r="A69" s="125">
        <v>64</v>
      </c>
      <c r="B69" s="78"/>
      <c r="C69" s="59"/>
      <c r="D69" s="63"/>
      <c r="E69" s="63"/>
      <c r="F69" s="63"/>
      <c r="G69" s="59"/>
      <c r="H69" s="33"/>
      <c r="I69" s="115"/>
    </row>
    <row r="70" spans="1:9" s="10" customFormat="1" ht="15" customHeight="1">
      <c r="A70" s="125">
        <v>65</v>
      </c>
      <c r="B70" s="78"/>
      <c r="C70" s="59"/>
      <c r="D70" s="63"/>
      <c r="E70" s="63"/>
      <c r="F70" s="63"/>
      <c r="G70" s="59"/>
      <c r="H70" s="33"/>
      <c r="I70" s="115"/>
    </row>
    <row r="71" spans="1:9" s="10" customFormat="1" ht="15" customHeight="1">
      <c r="A71" s="125">
        <v>66</v>
      </c>
      <c r="B71" s="78"/>
      <c r="C71" s="59"/>
      <c r="D71" s="63"/>
      <c r="E71" s="63"/>
      <c r="F71" s="63"/>
      <c r="G71" s="59"/>
      <c r="H71" s="33"/>
      <c r="I71" s="115"/>
    </row>
    <row r="72" spans="1:9" s="10" customFormat="1" ht="15" customHeight="1">
      <c r="A72" s="125">
        <v>67</v>
      </c>
      <c r="B72" s="78"/>
      <c r="C72" s="59"/>
      <c r="D72" s="63"/>
      <c r="E72" s="63"/>
      <c r="F72" s="63"/>
      <c r="G72" s="59"/>
      <c r="H72" s="33"/>
      <c r="I72" s="115"/>
    </row>
    <row r="73" spans="1:9" s="10" customFormat="1" ht="15" customHeight="1">
      <c r="A73" s="125">
        <v>68</v>
      </c>
      <c r="B73" s="78"/>
      <c r="C73" s="59"/>
      <c r="D73" s="63"/>
      <c r="E73" s="63"/>
      <c r="F73" s="63"/>
      <c r="G73" s="59"/>
      <c r="H73" s="33"/>
      <c r="I73" s="115"/>
    </row>
    <row r="74" spans="1:9" s="10" customFormat="1" ht="15" customHeight="1">
      <c r="A74" s="125">
        <v>69</v>
      </c>
      <c r="B74" s="78"/>
      <c r="C74" s="59"/>
      <c r="D74" s="63"/>
      <c r="E74" s="63"/>
      <c r="F74" s="63"/>
      <c r="G74" s="59"/>
      <c r="H74" s="33"/>
      <c r="I74" s="115"/>
    </row>
    <row r="75" spans="1:9" s="10" customFormat="1" ht="15" customHeight="1">
      <c r="A75" s="125">
        <v>70</v>
      </c>
      <c r="B75" s="78"/>
      <c r="C75" s="59"/>
      <c r="D75" s="63"/>
      <c r="E75" s="63"/>
      <c r="F75" s="63"/>
      <c r="G75" s="59"/>
      <c r="H75" s="33"/>
      <c r="I75" s="115"/>
    </row>
    <row r="76" spans="1:9" s="10" customFormat="1" ht="15" customHeight="1">
      <c r="A76" s="125">
        <v>71</v>
      </c>
      <c r="B76" s="78"/>
      <c r="C76" s="59"/>
      <c r="D76" s="63"/>
      <c r="E76" s="63"/>
      <c r="F76" s="63"/>
      <c r="G76" s="59"/>
      <c r="H76" s="33"/>
      <c r="I76" s="115"/>
    </row>
    <row r="77" spans="1:9" s="10" customFormat="1" ht="15" customHeight="1">
      <c r="A77" s="125">
        <v>72</v>
      </c>
      <c r="B77" s="78"/>
      <c r="C77" s="59"/>
      <c r="D77" s="63"/>
      <c r="E77" s="63"/>
      <c r="F77" s="63"/>
      <c r="G77" s="59"/>
      <c r="H77" s="33"/>
      <c r="I77" s="115"/>
    </row>
    <row r="78" spans="1:9" s="10" customFormat="1" ht="15" customHeight="1">
      <c r="A78" s="125">
        <v>73</v>
      </c>
      <c r="B78" s="78"/>
      <c r="C78" s="59"/>
      <c r="D78" s="63"/>
      <c r="E78" s="63"/>
      <c r="F78" s="63"/>
      <c r="G78" s="59"/>
      <c r="H78" s="33"/>
      <c r="I78" s="115"/>
    </row>
    <row r="79" spans="1:9" s="10" customFormat="1" ht="15" customHeight="1">
      <c r="A79" s="125">
        <v>74</v>
      </c>
      <c r="B79" s="78"/>
      <c r="C79" s="59"/>
      <c r="D79" s="63"/>
      <c r="E79" s="63"/>
      <c r="F79" s="63"/>
      <c r="G79" s="59"/>
      <c r="H79" s="33"/>
      <c r="I79" s="115"/>
    </row>
    <row r="80" spans="1:9" s="10" customFormat="1" ht="15" customHeight="1">
      <c r="A80" s="125">
        <v>75</v>
      </c>
      <c r="B80" s="78"/>
      <c r="C80" s="59"/>
      <c r="D80" s="63"/>
      <c r="E80" s="63"/>
      <c r="F80" s="63"/>
      <c r="G80" s="59"/>
      <c r="H80" s="33"/>
      <c r="I80" s="115"/>
    </row>
    <row r="81" spans="1:9" s="10" customFormat="1" ht="15" customHeight="1">
      <c r="A81" s="125">
        <v>76</v>
      </c>
      <c r="B81" s="78"/>
      <c r="C81" s="59"/>
      <c r="D81" s="63"/>
      <c r="E81" s="63"/>
      <c r="F81" s="63"/>
      <c r="G81" s="59"/>
      <c r="H81" s="33"/>
      <c r="I81" s="115"/>
    </row>
    <row r="82" spans="1:9" s="10" customFormat="1" ht="15" customHeight="1">
      <c r="A82" s="125">
        <v>77</v>
      </c>
      <c r="B82" s="78"/>
      <c r="C82" s="59"/>
      <c r="D82" s="63"/>
      <c r="E82" s="63"/>
      <c r="F82" s="63"/>
      <c r="G82" s="59"/>
      <c r="H82" s="33"/>
      <c r="I82" s="115"/>
    </row>
    <row r="83" spans="1:9" s="10" customFormat="1" ht="15" customHeight="1">
      <c r="A83" s="125">
        <v>78</v>
      </c>
      <c r="B83" s="78"/>
      <c r="C83" s="59"/>
      <c r="D83" s="63"/>
      <c r="E83" s="63"/>
      <c r="F83" s="63"/>
      <c r="G83" s="59"/>
      <c r="H83" s="33"/>
      <c r="I83" s="115"/>
    </row>
    <row r="84" spans="1:9" s="10" customFormat="1" ht="15" customHeight="1">
      <c r="A84" s="125">
        <v>79</v>
      </c>
      <c r="B84" s="78"/>
      <c r="C84" s="59"/>
      <c r="D84" s="63"/>
      <c r="E84" s="63"/>
      <c r="F84" s="63"/>
      <c r="G84" s="59"/>
      <c r="H84" s="33"/>
      <c r="I84" s="115"/>
    </row>
    <row r="85" spans="1:9" s="10" customFormat="1" ht="15" customHeight="1">
      <c r="A85" s="125">
        <v>80</v>
      </c>
      <c r="B85" s="78"/>
      <c r="C85" s="59"/>
      <c r="D85" s="63"/>
      <c r="E85" s="63"/>
      <c r="F85" s="63"/>
      <c r="G85" s="59"/>
      <c r="H85" s="33"/>
      <c r="I85" s="115"/>
    </row>
    <row r="86" spans="1:9" s="10" customFormat="1" ht="15" customHeight="1">
      <c r="A86" s="125">
        <v>81</v>
      </c>
      <c r="B86" s="78"/>
      <c r="C86" s="59"/>
      <c r="D86" s="63"/>
      <c r="E86" s="63"/>
      <c r="F86" s="63"/>
      <c r="G86" s="59"/>
      <c r="H86" s="33"/>
      <c r="I86" s="115"/>
    </row>
    <row r="87" spans="1:9" s="10" customFormat="1" ht="15" customHeight="1">
      <c r="A87" s="125">
        <v>82</v>
      </c>
      <c r="B87" s="78"/>
      <c r="C87" s="59"/>
      <c r="D87" s="63"/>
      <c r="E87" s="63"/>
      <c r="F87" s="63"/>
      <c r="G87" s="59"/>
      <c r="H87" s="33"/>
      <c r="I87" s="115"/>
    </row>
    <row r="88" spans="1:9" s="10" customFormat="1" ht="15" customHeight="1">
      <c r="A88" s="125">
        <v>83</v>
      </c>
      <c r="B88" s="78"/>
      <c r="C88" s="59"/>
      <c r="D88" s="63"/>
      <c r="E88" s="63"/>
      <c r="F88" s="63"/>
      <c r="G88" s="59"/>
      <c r="H88" s="33"/>
      <c r="I88" s="115"/>
    </row>
    <row r="89" spans="1:9" s="10" customFormat="1" ht="15" customHeight="1">
      <c r="A89" s="125">
        <v>84</v>
      </c>
      <c r="B89" s="78"/>
      <c r="C89" s="59"/>
      <c r="D89" s="63"/>
      <c r="E89" s="63"/>
      <c r="F89" s="63"/>
      <c r="G89" s="59"/>
      <c r="H89" s="33"/>
      <c r="I89" s="115"/>
    </row>
    <row r="90" spans="1:9" s="10" customFormat="1" ht="15" customHeight="1">
      <c r="A90" s="125">
        <v>85</v>
      </c>
      <c r="B90" s="78"/>
      <c r="C90" s="59"/>
      <c r="D90" s="63"/>
      <c r="E90" s="63"/>
      <c r="F90" s="63"/>
      <c r="G90" s="59"/>
      <c r="H90" s="33"/>
      <c r="I90" s="115"/>
    </row>
    <row r="91" spans="1:9" s="10" customFormat="1" ht="15" customHeight="1">
      <c r="A91" s="125">
        <v>86</v>
      </c>
      <c r="B91" s="78"/>
      <c r="C91" s="59"/>
      <c r="D91" s="63"/>
      <c r="E91" s="63"/>
      <c r="F91" s="63"/>
      <c r="G91" s="59"/>
      <c r="H91" s="33"/>
      <c r="I91" s="115"/>
    </row>
    <row r="92" spans="1:9" s="10" customFormat="1" ht="15" customHeight="1">
      <c r="A92" s="125">
        <v>87</v>
      </c>
      <c r="B92" s="78"/>
      <c r="C92" s="59"/>
      <c r="D92" s="63"/>
      <c r="E92" s="63"/>
      <c r="F92" s="63"/>
      <c r="G92" s="59"/>
      <c r="H92" s="33"/>
      <c r="I92" s="115"/>
    </row>
    <row r="93" spans="1:9" s="10" customFormat="1" ht="15" customHeight="1">
      <c r="A93" s="125">
        <v>88</v>
      </c>
      <c r="B93" s="78"/>
      <c r="C93" s="59"/>
      <c r="D93" s="63"/>
      <c r="E93" s="63"/>
      <c r="F93" s="63"/>
      <c r="G93" s="59"/>
      <c r="H93" s="33"/>
      <c r="I93" s="115"/>
    </row>
    <row r="94" spans="1:9" s="10" customFormat="1" ht="15" customHeight="1">
      <c r="A94" s="125">
        <v>89</v>
      </c>
      <c r="B94" s="78"/>
      <c r="C94" s="59"/>
      <c r="D94" s="63"/>
      <c r="E94" s="63"/>
      <c r="F94" s="63"/>
      <c r="G94" s="59"/>
      <c r="H94" s="33"/>
      <c r="I94" s="115"/>
    </row>
    <row r="95" spans="1:9" s="10" customFormat="1" ht="15" customHeight="1">
      <c r="A95" s="125">
        <v>90</v>
      </c>
      <c r="B95" s="78"/>
      <c r="C95" s="59"/>
      <c r="D95" s="63"/>
      <c r="E95" s="63"/>
      <c r="F95" s="63"/>
      <c r="G95" s="59"/>
      <c r="H95" s="33"/>
      <c r="I95" s="115"/>
    </row>
    <row r="96" spans="1:9" s="10" customFormat="1" ht="15" customHeight="1">
      <c r="A96" s="125">
        <v>91</v>
      </c>
      <c r="B96" s="78"/>
      <c r="C96" s="59"/>
      <c r="D96" s="63"/>
      <c r="E96" s="63"/>
      <c r="F96" s="63"/>
      <c r="G96" s="59"/>
      <c r="H96" s="33"/>
      <c r="I96" s="115"/>
    </row>
    <row r="97" spans="1:9" s="10" customFormat="1" ht="15" customHeight="1">
      <c r="A97" s="125">
        <v>92</v>
      </c>
      <c r="B97" s="78"/>
      <c r="C97" s="59"/>
      <c r="D97" s="63"/>
      <c r="E97" s="63"/>
      <c r="F97" s="63"/>
      <c r="G97" s="59"/>
      <c r="H97" s="33"/>
      <c r="I97" s="115"/>
    </row>
    <row r="98" spans="1:9" s="10" customFormat="1" ht="15" customHeight="1">
      <c r="A98" s="125">
        <v>93</v>
      </c>
      <c r="B98" s="78"/>
      <c r="C98" s="59"/>
      <c r="D98" s="63"/>
      <c r="E98" s="63"/>
      <c r="F98" s="63"/>
      <c r="G98" s="59"/>
      <c r="H98" s="33"/>
      <c r="I98" s="115"/>
    </row>
    <row r="99" spans="1:9" s="10" customFormat="1" ht="15" customHeight="1">
      <c r="A99" s="125">
        <v>94</v>
      </c>
      <c r="B99" s="78"/>
      <c r="C99" s="59"/>
      <c r="D99" s="63"/>
      <c r="E99" s="63"/>
      <c r="F99" s="63"/>
      <c r="G99" s="59"/>
      <c r="H99" s="33"/>
      <c r="I99" s="115"/>
    </row>
    <row r="100" spans="1:9" s="10" customFormat="1" ht="15" customHeight="1">
      <c r="A100" s="125">
        <v>95</v>
      </c>
      <c r="B100" s="78"/>
      <c r="C100" s="59"/>
      <c r="D100" s="63"/>
      <c r="E100" s="63"/>
      <c r="F100" s="63"/>
      <c r="G100" s="59"/>
      <c r="H100" s="33"/>
      <c r="I100" s="115"/>
    </row>
    <row r="101" spans="1:9" s="10" customFormat="1" ht="15" customHeight="1">
      <c r="A101" s="125">
        <v>96</v>
      </c>
      <c r="B101" s="60"/>
      <c r="C101" s="58"/>
      <c r="D101" s="33"/>
      <c r="E101" s="33"/>
      <c r="F101" s="33"/>
      <c r="G101" s="30"/>
      <c r="H101" s="33"/>
      <c r="I101" s="115"/>
    </row>
    <row r="102" spans="1:9" s="10" customFormat="1" ht="15" customHeight="1">
      <c r="A102" s="125">
        <v>97</v>
      </c>
      <c r="B102" s="60"/>
      <c r="C102" s="30"/>
      <c r="D102" s="33"/>
      <c r="E102" s="33"/>
      <c r="F102" s="33"/>
      <c r="G102" s="30"/>
      <c r="H102" s="33"/>
      <c r="I102" s="115"/>
    </row>
    <row r="103" spans="1:9" s="10" customFormat="1" ht="15" customHeight="1">
      <c r="A103" s="125">
        <v>98</v>
      </c>
      <c r="B103" s="60"/>
      <c r="C103" s="30"/>
      <c r="D103" s="33"/>
      <c r="E103" s="33"/>
      <c r="F103" s="33"/>
      <c r="G103" s="30"/>
      <c r="H103" s="33"/>
      <c r="I103" s="115"/>
    </row>
    <row r="104" spans="1:9" s="10" customFormat="1" ht="15" customHeight="1">
      <c r="A104" s="125">
        <v>99</v>
      </c>
      <c r="B104" s="60"/>
      <c r="C104" s="30"/>
      <c r="D104" s="33"/>
      <c r="E104" s="33"/>
      <c r="F104" s="33"/>
      <c r="G104" s="30"/>
      <c r="H104" s="33"/>
      <c r="I104" s="115"/>
    </row>
    <row r="105" spans="1:9" s="10" customFormat="1" ht="15" customHeight="1">
      <c r="A105" s="126">
        <v>100</v>
      </c>
      <c r="B105" s="127"/>
      <c r="C105" s="118"/>
      <c r="D105" s="119"/>
      <c r="E105" s="119"/>
      <c r="F105" s="119"/>
      <c r="G105" s="118"/>
      <c r="H105" s="119"/>
      <c r="I105" s="121"/>
    </row>
    <row r="106" spans="1:9" ht="20.25">
      <c r="B106" s="41"/>
      <c r="C106" s="42"/>
      <c r="D106" s="42"/>
      <c r="E106" s="42"/>
      <c r="F106" s="42"/>
      <c r="G106" s="42"/>
      <c r="H106" s="42"/>
      <c r="I106" s="42"/>
    </row>
    <row r="1048576" spans="4:4" ht="20.25">
      <c r="D1048576" s="31" t="s">
        <v>0</v>
      </c>
    </row>
  </sheetData>
  <autoFilter ref="B5:G105" xr:uid="{CE6C056B-1174-47E5-B58F-BD1F5280A530}"/>
  <mergeCells count="5">
    <mergeCell ref="A1:A5"/>
    <mergeCell ref="B1:I2"/>
    <mergeCell ref="H3:I3"/>
    <mergeCell ref="B3:B4"/>
    <mergeCell ref="C3:C4"/>
  </mergeCells>
  <dataValidations count="1">
    <dataValidation allowBlank="1" showErrorMessage="1" sqref="C5:D5" xr:uid="{43EAF3A1-3FCF-4690-8CDF-DFD7BDF046EB}"/>
  </dataValidations>
  <pageMargins left="0.511811024" right="0.511811024" top="0.78740157499999996" bottom="0.78740157499999996" header="0.31496062000000002" footer="0.31496062000000002"/>
  <pageSetup paperSize="0" orientation="portrait" horizontalDpi="203" verticalDpi="203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D9466E0-DFE3-44CE-84A4-304043A16D87}">
          <x14:formula1>
            <xm:f>DATA!$B$4:$B$10</xm:f>
          </x14:formula1>
          <xm:sqref>H4</xm:sqref>
        </x14:dataValidation>
        <x14:dataValidation type="list" allowBlank="1" showInputMessage="1" showErrorMessage="1" xr:uid="{7227D443-E20D-4564-8EAD-A3C009CBC88A}">
          <x14:formula1>
            <xm:f>DATA!$C$2:$C$6</xm:f>
          </x14:formula1>
          <xm:sqref>G6:G105</xm:sqref>
        </x14:dataValidation>
        <x14:dataValidation type="list" allowBlank="1" showErrorMessage="1" xr:uid="{B40A9850-FBD1-4416-AC32-EE5907F0F171}">
          <x14:formula1>
            <xm:f>DATA!$D$2:$D$17</xm:f>
          </x14:formula1>
          <xm:sqref>C6:C105</xm:sqref>
        </x14:dataValidation>
        <x14:dataValidation type="list" allowBlank="1" showInputMessage="1" showErrorMessage="1" xr:uid="{F01D50AA-1BC3-4562-AB9C-D0827059FC87}">
          <x14:formula1>
            <xm:f>DATA!$B$2:$B$20</xm:f>
          </x14:formula1>
          <xm:sqref>I6:I7 D1048576 D6:D105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C8A15-AFE5-4FF3-A240-E9E1EC0831D9}">
  <sheetPr codeName="Planilha9"/>
  <dimension ref="A1:L106"/>
  <sheetViews>
    <sheetView zoomScale="90" zoomScaleNormal="90" workbookViewId="0">
      <selection activeCell="B3" sqref="B3:B4"/>
    </sheetView>
  </sheetViews>
  <sheetFormatPr defaultRowHeight="15"/>
  <cols>
    <col min="1" max="1" width="4.42578125" style="49" customWidth="1"/>
    <col min="2" max="2" width="40.7109375" style="43" customWidth="1"/>
    <col min="3" max="3" width="55.7109375" style="44" customWidth="1"/>
    <col min="4" max="4" width="30.7109375" style="44" customWidth="1"/>
    <col min="5" max="5" width="20.7109375" style="44" customWidth="1"/>
    <col min="6" max="6" width="30.7109375" style="44" customWidth="1"/>
    <col min="7" max="7" width="20.7109375" style="44" customWidth="1"/>
    <col min="8" max="8" width="34.7109375" style="44" customWidth="1"/>
    <col min="9" max="9" width="19.7109375" style="44" customWidth="1"/>
    <col min="10" max="10" width="10.5703125" style="10" bestFit="1" customWidth="1"/>
    <col min="11" max="12" width="9.140625" style="10"/>
    <col min="13" max="16384" width="9.140625" style="8"/>
  </cols>
  <sheetData>
    <row r="1" spans="1:10" ht="15" customHeight="1">
      <c r="A1" s="122" t="s">
        <v>58</v>
      </c>
      <c r="B1" s="123" t="s">
        <v>85</v>
      </c>
      <c r="C1" s="101"/>
      <c r="D1" s="101"/>
      <c r="E1" s="101"/>
      <c r="F1" s="101"/>
      <c r="G1" s="101"/>
      <c r="H1" s="101"/>
      <c r="I1" s="102"/>
      <c r="J1" s="9"/>
    </row>
    <row r="2" spans="1:10" ht="33.75" customHeight="1">
      <c r="A2" s="124"/>
      <c r="B2" s="93"/>
      <c r="C2" s="94"/>
      <c r="D2" s="94"/>
      <c r="E2" s="94"/>
      <c r="F2" s="94"/>
      <c r="G2" s="94"/>
      <c r="H2" s="94"/>
      <c r="I2" s="104"/>
      <c r="J2" s="9"/>
    </row>
    <row r="3" spans="1:10" ht="42.75" customHeight="1">
      <c r="A3" s="124"/>
      <c r="B3" s="96" t="s">
        <v>25</v>
      </c>
      <c r="C3" s="98">
        <f>E3-E4-(SUMIFS(E6:E105,G6:G105,"Reserva") + SUMIFS(E6:E105,G6:G105,"Investimento"))</f>
        <v>0</v>
      </c>
      <c r="D3" s="35" t="s">
        <v>36</v>
      </c>
      <c r="E3" s="65">
        <f>SUMIF(($G$6:$G$105),"Receita",($E$6:$E$105))</f>
        <v>0</v>
      </c>
      <c r="F3" s="67" t="s">
        <v>38</v>
      </c>
      <c r="G3" s="34">
        <f>SUMIF(($G$6:$G$105),"Custo",($E$6:$E$105))</f>
        <v>0</v>
      </c>
      <c r="H3" s="95" t="s">
        <v>56</v>
      </c>
      <c r="I3" s="106"/>
    </row>
    <row r="4" spans="1:10" ht="31.5" customHeight="1">
      <c r="A4" s="124"/>
      <c r="B4" s="97"/>
      <c r="C4" s="99"/>
      <c r="D4" s="35" t="s">
        <v>37</v>
      </c>
      <c r="E4" s="65">
        <f>G3+G4</f>
        <v>0</v>
      </c>
      <c r="F4" s="67" t="s">
        <v>39</v>
      </c>
      <c r="G4" s="34">
        <f>SUMIF(($G$6:$G$105),"Gasto",($E$6:$E$105))</f>
        <v>0</v>
      </c>
      <c r="H4" s="66" t="s">
        <v>0</v>
      </c>
      <c r="I4" s="108">
        <f>SUMIF(D6:D105,H4,E6:E105)</f>
        <v>0</v>
      </c>
    </row>
    <row r="5" spans="1:10" ht="23.25" customHeight="1">
      <c r="A5" s="124"/>
      <c r="B5" s="18" t="s">
        <v>20</v>
      </c>
      <c r="C5" s="13" t="s">
        <v>15</v>
      </c>
      <c r="D5" s="13" t="s">
        <v>16</v>
      </c>
      <c r="E5" s="13" t="s">
        <v>17</v>
      </c>
      <c r="F5" s="13" t="s">
        <v>18</v>
      </c>
      <c r="G5" s="13" t="s">
        <v>19</v>
      </c>
      <c r="H5" s="14"/>
      <c r="I5" s="110"/>
    </row>
    <row r="6" spans="1:10" s="10" customFormat="1" ht="20.100000000000001" customHeight="1">
      <c r="A6" s="125">
        <v>1</v>
      </c>
      <c r="B6" s="47"/>
      <c r="C6" s="79"/>
      <c r="D6" s="29"/>
      <c r="E6" s="22"/>
      <c r="F6" s="25"/>
      <c r="G6" s="29"/>
      <c r="H6" s="33"/>
      <c r="I6" s="112"/>
      <c r="J6" s="11"/>
    </row>
    <row r="7" spans="1:10" s="10" customFormat="1" ht="20.100000000000001" customHeight="1">
      <c r="A7" s="125">
        <v>2</v>
      </c>
      <c r="B7" s="47"/>
      <c r="C7" s="79"/>
      <c r="D7" s="29"/>
      <c r="E7" s="22"/>
      <c r="F7" s="25"/>
      <c r="G7" s="30"/>
      <c r="H7" s="33"/>
      <c r="I7" s="112"/>
      <c r="J7" s="12"/>
    </row>
    <row r="8" spans="1:10" s="10" customFormat="1" ht="20.100000000000001" customHeight="1">
      <c r="A8" s="125">
        <v>3</v>
      </c>
      <c r="B8" s="47"/>
      <c r="C8" s="79"/>
      <c r="D8" s="29"/>
      <c r="E8" s="22"/>
      <c r="F8" s="25"/>
      <c r="G8" s="30"/>
      <c r="H8" s="33"/>
      <c r="I8" s="112"/>
      <c r="J8" s="12"/>
    </row>
    <row r="9" spans="1:10" s="10" customFormat="1" ht="20.100000000000001" customHeight="1">
      <c r="A9" s="125">
        <v>4</v>
      </c>
      <c r="B9" s="47"/>
      <c r="C9" s="79"/>
      <c r="D9" s="29"/>
      <c r="E9" s="22"/>
      <c r="F9" s="25"/>
      <c r="G9" s="30"/>
      <c r="H9" s="33"/>
      <c r="I9" s="112"/>
      <c r="J9" s="12"/>
    </row>
    <row r="10" spans="1:10" s="10" customFormat="1" ht="20.100000000000001" customHeight="1">
      <c r="A10" s="125">
        <v>5</v>
      </c>
      <c r="B10" s="47"/>
      <c r="C10" s="79"/>
      <c r="D10" s="29"/>
      <c r="E10" s="22"/>
      <c r="F10" s="25"/>
      <c r="G10" s="30"/>
      <c r="H10" s="33"/>
      <c r="I10" s="112"/>
      <c r="J10" s="12"/>
    </row>
    <row r="11" spans="1:10" s="10" customFormat="1" ht="20.100000000000001" customHeight="1">
      <c r="A11" s="125">
        <v>6</v>
      </c>
      <c r="B11" s="47"/>
      <c r="C11" s="79"/>
      <c r="D11" s="29"/>
      <c r="E11" s="22"/>
      <c r="F11" s="25"/>
      <c r="G11" s="30"/>
      <c r="H11" s="33"/>
      <c r="I11" s="112"/>
      <c r="J11" s="12"/>
    </row>
    <row r="12" spans="1:10" s="10" customFormat="1" ht="20.100000000000001" customHeight="1">
      <c r="A12" s="125">
        <v>7</v>
      </c>
      <c r="B12" s="47"/>
      <c r="C12" s="79"/>
      <c r="D12" s="30"/>
      <c r="E12" s="22"/>
      <c r="F12" s="25"/>
      <c r="G12" s="30"/>
      <c r="H12" s="33"/>
      <c r="I12" s="112"/>
      <c r="J12" s="12"/>
    </row>
    <row r="13" spans="1:10" s="10" customFormat="1" ht="20.100000000000001" customHeight="1">
      <c r="A13" s="125">
        <v>8</v>
      </c>
      <c r="B13" s="47"/>
      <c r="C13" s="79"/>
      <c r="D13" s="29"/>
      <c r="E13" s="22"/>
      <c r="F13" s="25"/>
      <c r="G13" s="30"/>
      <c r="H13" s="33"/>
      <c r="I13" s="115"/>
    </row>
    <row r="14" spans="1:10" s="10" customFormat="1" ht="20.100000000000001" customHeight="1">
      <c r="A14" s="125">
        <v>9</v>
      </c>
      <c r="B14" s="60"/>
      <c r="C14" s="79"/>
      <c r="D14" s="29"/>
      <c r="E14" s="61"/>
      <c r="F14" s="62"/>
      <c r="G14" s="30"/>
      <c r="H14" s="33"/>
      <c r="I14" s="115"/>
    </row>
    <row r="15" spans="1:10" s="10" customFormat="1" ht="20.100000000000001" customHeight="1">
      <c r="A15" s="125">
        <v>10</v>
      </c>
      <c r="B15" s="60"/>
      <c r="C15" s="16"/>
      <c r="D15" s="30"/>
      <c r="E15" s="61"/>
      <c r="F15" s="62"/>
      <c r="G15" s="30"/>
      <c r="H15" s="33"/>
      <c r="I15" s="115"/>
    </row>
    <row r="16" spans="1:10" s="10" customFormat="1" ht="20.100000000000001" customHeight="1">
      <c r="A16" s="125">
        <v>11</v>
      </c>
      <c r="B16" s="60"/>
      <c r="C16" s="16"/>
      <c r="D16" s="29"/>
      <c r="E16" s="61"/>
      <c r="F16" s="62"/>
      <c r="G16" s="30"/>
      <c r="H16" s="33"/>
      <c r="I16" s="115"/>
    </row>
    <row r="17" spans="1:9" s="10" customFormat="1" ht="20.100000000000001" customHeight="1">
      <c r="A17" s="125">
        <v>12</v>
      </c>
      <c r="B17" s="60"/>
      <c r="C17" s="16"/>
      <c r="D17" s="30"/>
      <c r="E17" s="61"/>
      <c r="F17" s="30"/>
      <c r="G17" s="30"/>
      <c r="H17" s="33"/>
      <c r="I17" s="115"/>
    </row>
    <row r="18" spans="1:9" s="10" customFormat="1" ht="20.100000000000001" customHeight="1">
      <c r="A18" s="125">
        <v>13</v>
      </c>
      <c r="B18" s="60"/>
      <c r="C18" s="16"/>
      <c r="D18" s="30"/>
      <c r="E18" s="61"/>
      <c r="F18" s="30"/>
      <c r="G18" s="30"/>
      <c r="H18" s="33"/>
      <c r="I18" s="115"/>
    </row>
    <row r="19" spans="1:9" s="10" customFormat="1" ht="20.100000000000001" customHeight="1">
      <c r="A19" s="125">
        <v>14</v>
      </c>
      <c r="B19" s="60"/>
      <c r="C19" s="16"/>
      <c r="D19" s="30"/>
      <c r="E19" s="61"/>
      <c r="F19" s="30"/>
      <c r="G19" s="30"/>
      <c r="H19" s="33"/>
      <c r="I19" s="115"/>
    </row>
    <row r="20" spans="1:9" s="10" customFormat="1" ht="20.100000000000001" customHeight="1">
      <c r="A20" s="125">
        <v>15</v>
      </c>
      <c r="B20" s="60"/>
      <c r="C20" s="16"/>
      <c r="D20" s="29"/>
      <c r="E20" s="61"/>
      <c r="F20" s="62"/>
      <c r="G20" s="30"/>
      <c r="H20" s="33"/>
      <c r="I20" s="115"/>
    </row>
    <row r="21" spans="1:9" s="10" customFormat="1" ht="20.100000000000001" customHeight="1">
      <c r="A21" s="125">
        <v>16</v>
      </c>
      <c r="B21" s="60"/>
      <c r="C21" s="16"/>
      <c r="D21" s="29"/>
      <c r="E21" s="61"/>
      <c r="F21" s="30"/>
      <c r="G21" s="30"/>
      <c r="H21" s="33"/>
      <c r="I21" s="115"/>
    </row>
    <row r="22" spans="1:9" s="10" customFormat="1" ht="20.100000000000001" customHeight="1">
      <c r="A22" s="125">
        <v>17</v>
      </c>
      <c r="B22" s="60"/>
      <c r="C22" s="16"/>
      <c r="D22" s="30"/>
      <c r="E22" s="61"/>
      <c r="F22" s="30"/>
      <c r="G22" s="30"/>
      <c r="H22" s="33"/>
      <c r="I22" s="115"/>
    </row>
    <row r="23" spans="1:9" s="10" customFormat="1" ht="20.100000000000001" customHeight="1">
      <c r="A23" s="125">
        <v>18</v>
      </c>
      <c r="B23" s="47"/>
      <c r="C23" s="79"/>
      <c r="D23" s="29"/>
      <c r="E23" s="22"/>
      <c r="F23" s="25"/>
      <c r="G23" s="30"/>
      <c r="H23" s="33"/>
      <c r="I23" s="115"/>
    </row>
    <row r="24" spans="1:9" s="10" customFormat="1" ht="20.100000000000001" customHeight="1">
      <c r="A24" s="125">
        <v>19</v>
      </c>
      <c r="B24" s="60"/>
      <c r="C24" s="16"/>
      <c r="D24" s="30"/>
      <c r="E24" s="61"/>
      <c r="F24" s="30"/>
      <c r="G24" s="30"/>
      <c r="H24" s="33"/>
      <c r="I24" s="115"/>
    </row>
    <row r="25" spans="1:9" s="10" customFormat="1" ht="20.100000000000001" customHeight="1">
      <c r="A25" s="125">
        <v>20</v>
      </c>
      <c r="B25" s="60"/>
      <c r="C25" s="16"/>
      <c r="D25" s="30"/>
      <c r="E25" s="61"/>
      <c r="F25" s="30"/>
      <c r="G25" s="30"/>
      <c r="H25" s="33"/>
      <c r="I25" s="115"/>
    </row>
    <row r="26" spans="1:9" s="10" customFormat="1" ht="20.100000000000001" customHeight="1">
      <c r="A26" s="125">
        <v>21</v>
      </c>
      <c r="B26" s="60"/>
      <c r="C26" s="16"/>
      <c r="D26" s="30"/>
      <c r="E26" s="61"/>
      <c r="F26" s="30"/>
      <c r="G26" s="30"/>
      <c r="H26" s="33"/>
      <c r="I26" s="115"/>
    </row>
    <row r="27" spans="1:9" s="10" customFormat="1" ht="20.100000000000001" customHeight="1">
      <c r="A27" s="125">
        <v>22</v>
      </c>
      <c r="B27" s="60"/>
      <c r="C27" s="16"/>
      <c r="D27" s="30"/>
      <c r="E27" s="61"/>
      <c r="F27" s="30"/>
      <c r="G27" s="30"/>
      <c r="H27" s="33"/>
      <c r="I27" s="115"/>
    </row>
    <row r="28" spans="1:9" s="10" customFormat="1" ht="20.100000000000001" customHeight="1">
      <c r="A28" s="125">
        <v>23</v>
      </c>
      <c r="B28" s="60"/>
      <c r="C28" s="16"/>
      <c r="D28" s="30"/>
      <c r="E28" s="61"/>
      <c r="F28" s="30"/>
      <c r="G28" s="30"/>
      <c r="H28" s="33"/>
      <c r="I28" s="115"/>
    </row>
    <row r="29" spans="1:9" s="10" customFormat="1" ht="20.100000000000001" customHeight="1">
      <c r="A29" s="125">
        <v>24</v>
      </c>
      <c r="B29" s="60"/>
      <c r="C29" s="16"/>
      <c r="D29" s="30"/>
      <c r="E29" s="61"/>
      <c r="F29" s="30"/>
      <c r="G29" s="30"/>
      <c r="H29" s="33"/>
      <c r="I29" s="115"/>
    </row>
    <row r="30" spans="1:9" s="10" customFormat="1" ht="20.100000000000001" customHeight="1">
      <c r="A30" s="125">
        <v>25</v>
      </c>
      <c r="B30" s="60"/>
      <c r="C30" s="16"/>
      <c r="D30" s="29"/>
      <c r="E30" s="61"/>
      <c r="F30" s="30"/>
      <c r="G30" s="30"/>
      <c r="H30" s="33"/>
      <c r="I30" s="115"/>
    </row>
    <row r="31" spans="1:9" s="10" customFormat="1" ht="20.100000000000001" customHeight="1">
      <c r="A31" s="125">
        <v>26</v>
      </c>
      <c r="B31" s="60"/>
      <c r="C31" s="16"/>
      <c r="D31" s="30"/>
      <c r="E31" s="61"/>
      <c r="F31" s="30"/>
      <c r="G31" s="30"/>
      <c r="H31" s="33"/>
      <c r="I31" s="115"/>
    </row>
    <row r="32" spans="1:9" s="10" customFormat="1" ht="20.100000000000001" customHeight="1">
      <c r="A32" s="125">
        <v>27</v>
      </c>
      <c r="B32" s="60"/>
      <c r="C32" s="16"/>
      <c r="D32" s="30"/>
      <c r="E32" s="61"/>
      <c r="F32" s="30"/>
      <c r="G32" s="30"/>
      <c r="H32" s="33"/>
      <c r="I32" s="115"/>
    </row>
    <row r="33" spans="1:9" s="10" customFormat="1" ht="20.100000000000001" customHeight="1">
      <c r="A33" s="125">
        <v>28</v>
      </c>
      <c r="B33" s="60"/>
      <c r="C33" s="16"/>
      <c r="D33" s="30"/>
      <c r="E33" s="61"/>
      <c r="F33" s="62"/>
      <c r="G33" s="30"/>
      <c r="H33" s="33"/>
      <c r="I33" s="115"/>
    </row>
    <row r="34" spans="1:9" s="10" customFormat="1" ht="20.100000000000001" customHeight="1">
      <c r="A34" s="125">
        <v>29</v>
      </c>
      <c r="B34" s="60"/>
      <c r="C34" s="16"/>
      <c r="D34" s="30"/>
      <c r="E34" s="61"/>
      <c r="F34" s="62"/>
      <c r="G34" s="30"/>
      <c r="H34" s="33"/>
      <c r="I34" s="115"/>
    </row>
    <row r="35" spans="1:9" s="10" customFormat="1" ht="20.100000000000001" customHeight="1">
      <c r="A35" s="125">
        <v>30</v>
      </c>
      <c r="B35" s="60"/>
      <c r="C35" s="16"/>
      <c r="D35" s="30"/>
      <c r="E35" s="61"/>
      <c r="F35" s="62"/>
      <c r="G35" s="30"/>
      <c r="H35" s="33"/>
      <c r="I35" s="115"/>
    </row>
    <row r="36" spans="1:9" s="10" customFormat="1" ht="20.100000000000001" customHeight="1">
      <c r="A36" s="125">
        <v>31</v>
      </c>
      <c r="B36" s="60"/>
      <c r="C36" s="16"/>
      <c r="D36" s="30"/>
      <c r="E36" s="61"/>
      <c r="F36" s="62"/>
      <c r="G36" s="30"/>
      <c r="H36" s="33"/>
      <c r="I36" s="115"/>
    </row>
    <row r="37" spans="1:9" s="10" customFormat="1" ht="20.100000000000001" customHeight="1">
      <c r="A37" s="125">
        <v>32</v>
      </c>
      <c r="B37" s="60"/>
      <c r="C37" s="16"/>
      <c r="D37" s="33"/>
      <c r="E37" s="33"/>
      <c r="F37" s="33"/>
      <c r="G37" s="30"/>
      <c r="H37" s="33"/>
      <c r="I37" s="115"/>
    </row>
    <row r="38" spans="1:9" s="10" customFormat="1" ht="20.100000000000001" customHeight="1">
      <c r="A38" s="125">
        <v>33</v>
      </c>
      <c r="B38" s="60"/>
      <c r="C38" s="16"/>
      <c r="D38" s="33"/>
      <c r="E38" s="33"/>
      <c r="F38" s="33"/>
      <c r="G38" s="30"/>
      <c r="H38" s="33"/>
      <c r="I38" s="115"/>
    </row>
    <row r="39" spans="1:9" s="10" customFormat="1" ht="20.100000000000001" customHeight="1">
      <c r="A39" s="125">
        <v>34</v>
      </c>
      <c r="B39" s="60"/>
      <c r="C39" s="16"/>
      <c r="D39" s="33"/>
      <c r="E39" s="33"/>
      <c r="F39" s="33"/>
      <c r="G39" s="30"/>
      <c r="H39" s="33"/>
      <c r="I39" s="115"/>
    </row>
    <row r="40" spans="1:9" s="10" customFormat="1" ht="20.100000000000001" customHeight="1">
      <c r="A40" s="125">
        <v>35</v>
      </c>
      <c r="B40" s="60"/>
      <c r="C40" s="16"/>
      <c r="D40" s="33"/>
      <c r="E40" s="33"/>
      <c r="F40" s="33"/>
      <c r="G40" s="30"/>
      <c r="H40" s="33"/>
      <c r="I40" s="115"/>
    </row>
    <row r="41" spans="1:9" s="10" customFormat="1" ht="20.100000000000001" customHeight="1">
      <c r="A41" s="125">
        <v>36</v>
      </c>
      <c r="B41" s="60"/>
      <c r="C41" s="16"/>
      <c r="D41" s="33"/>
      <c r="E41" s="33"/>
      <c r="F41" s="33"/>
      <c r="G41" s="30"/>
      <c r="H41" s="33"/>
      <c r="I41" s="115"/>
    </row>
    <row r="42" spans="1:9" s="10" customFormat="1" ht="20.100000000000001" customHeight="1">
      <c r="A42" s="125">
        <v>37</v>
      </c>
      <c r="B42" s="60"/>
      <c r="C42" s="16"/>
      <c r="D42" s="33"/>
      <c r="E42" s="33"/>
      <c r="F42" s="77"/>
      <c r="G42" s="30"/>
      <c r="H42" s="33"/>
      <c r="I42" s="115"/>
    </row>
    <row r="43" spans="1:9" s="10" customFormat="1" ht="20.100000000000001" customHeight="1">
      <c r="A43" s="125">
        <v>38</v>
      </c>
      <c r="B43" s="78"/>
      <c r="C43" s="82"/>
      <c r="D43" s="63"/>
      <c r="E43" s="63"/>
      <c r="F43" s="63"/>
      <c r="G43" s="30"/>
      <c r="H43" s="33"/>
      <c r="I43" s="115"/>
    </row>
    <row r="44" spans="1:9" s="10" customFormat="1" ht="20.100000000000001" customHeight="1">
      <c r="A44" s="125">
        <v>39</v>
      </c>
      <c r="B44" s="78"/>
      <c r="C44" s="82"/>
      <c r="D44" s="63"/>
      <c r="E44" s="63"/>
      <c r="F44" s="63"/>
      <c r="G44" s="30"/>
      <c r="H44" s="33"/>
      <c r="I44" s="115"/>
    </row>
    <row r="45" spans="1:9" s="10" customFormat="1" ht="20.100000000000001" customHeight="1">
      <c r="A45" s="125">
        <v>40</v>
      </c>
      <c r="B45" s="78"/>
      <c r="C45" s="82"/>
      <c r="D45" s="63"/>
      <c r="E45" s="63"/>
      <c r="F45" s="63"/>
      <c r="G45" s="30"/>
      <c r="H45" s="33"/>
      <c r="I45" s="115"/>
    </row>
    <row r="46" spans="1:9" s="10" customFormat="1" ht="20.100000000000001" customHeight="1">
      <c r="A46" s="125">
        <v>41</v>
      </c>
      <c r="B46" s="78"/>
      <c r="C46" s="82"/>
      <c r="D46" s="63"/>
      <c r="E46" s="63"/>
      <c r="F46" s="63"/>
      <c r="G46" s="59"/>
      <c r="H46" s="33"/>
      <c r="I46" s="115"/>
    </row>
    <row r="47" spans="1:9" s="10" customFormat="1" ht="20.100000000000001" customHeight="1">
      <c r="A47" s="125">
        <v>42</v>
      </c>
      <c r="B47" s="78"/>
      <c r="C47" s="82"/>
      <c r="D47" s="63"/>
      <c r="E47" s="63"/>
      <c r="F47" s="63"/>
      <c r="G47" s="59"/>
      <c r="H47" s="33"/>
      <c r="I47" s="115"/>
    </row>
    <row r="48" spans="1:9" s="10" customFormat="1" ht="20.100000000000001" customHeight="1">
      <c r="A48" s="125">
        <v>43</v>
      </c>
      <c r="B48" s="78"/>
      <c r="C48" s="82"/>
      <c r="D48" s="63"/>
      <c r="E48" s="63"/>
      <c r="F48" s="63"/>
      <c r="G48" s="59"/>
      <c r="H48" s="33"/>
      <c r="I48" s="115"/>
    </row>
    <row r="49" spans="1:9" s="10" customFormat="1" ht="20.100000000000001" customHeight="1">
      <c r="A49" s="125">
        <v>44</v>
      </c>
      <c r="B49" s="78"/>
      <c r="C49" s="82"/>
      <c r="D49" s="63"/>
      <c r="E49" s="63"/>
      <c r="F49" s="63"/>
      <c r="G49" s="59"/>
      <c r="H49" s="33"/>
      <c r="I49" s="115"/>
    </row>
    <row r="50" spans="1:9" s="10" customFormat="1" ht="20.100000000000001" customHeight="1">
      <c r="A50" s="125">
        <v>45</v>
      </c>
      <c r="B50" s="78"/>
      <c r="C50" s="82"/>
      <c r="D50" s="63"/>
      <c r="E50" s="63"/>
      <c r="F50" s="63"/>
      <c r="G50" s="59"/>
      <c r="H50" s="33"/>
      <c r="I50" s="115"/>
    </row>
    <row r="51" spans="1:9" s="10" customFormat="1" ht="20.100000000000001" customHeight="1">
      <c r="A51" s="125">
        <v>46</v>
      </c>
      <c r="B51" s="78"/>
      <c r="C51" s="82"/>
      <c r="D51" s="63"/>
      <c r="E51" s="63"/>
      <c r="F51" s="63"/>
      <c r="G51" s="59"/>
      <c r="H51" s="33"/>
      <c r="I51" s="115"/>
    </row>
    <row r="52" spans="1:9" s="10" customFormat="1" ht="20.100000000000001" customHeight="1">
      <c r="A52" s="125">
        <v>47</v>
      </c>
      <c r="B52" s="78"/>
      <c r="C52" s="82"/>
      <c r="D52" s="63"/>
      <c r="E52" s="63"/>
      <c r="F52" s="63"/>
      <c r="G52" s="59"/>
      <c r="H52" s="33"/>
      <c r="I52" s="115"/>
    </row>
    <row r="53" spans="1:9" s="10" customFormat="1" ht="20.100000000000001" customHeight="1">
      <c r="A53" s="125">
        <v>48</v>
      </c>
      <c r="B53" s="78"/>
      <c r="C53" s="82"/>
      <c r="D53" s="63"/>
      <c r="E53" s="63"/>
      <c r="F53" s="63"/>
      <c r="G53" s="59"/>
      <c r="H53" s="33"/>
      <c r="I53" s="115"/>
    </row>
    <row r="54" spans="1:9" s="10" customFormat="1" ht="20.100000000000001" customHeight="1">
      <c r="A54" s="125">
        <v>49</v>
      </c>
      <c r="B54" s="78"/>
      <c r="C54" s="82"/>
      <c r="D54" s="63"/>
      <c r="E54" s="63"/>
      <c r="F54" s="63"/>
      <c r="G54" s="59"/>
      <c r="H54" s="33"/>
      <c r="I54" s="115"/>
    </row>
    <row r="55" spans="1:9" s="10" customFormat="1" ht="20.100000000000001" customHeight="1">
      <c r="A55" s="125">
        <v>50</v>
      </c>
      <c r="B55" s="78"/>
      <c r="C55" s="82"/>
      <c r="D55" s="63"/>
      <c r="E55" s="63"/>
      <c r="F55" s="63"/>
      <c r="G55" s="59"/>
      <c r="H55" s="33"/>
      <c r="I55" s="115"/>
    </row>
    <row r="56" spans="1:9" s="10" customFormat="1" ht="20.100000000000001" customHeight="1">
      <c r="A56" s="125">
        <v>51</v>
      </c>
      <c r="B56" s="78"/>
      <c r="C56" s="82"/>
      <c r="D56" s="63"/>
      <c r="E56" s="63"/>
      <c r="F56" s="63"/>
      <c r="G56" s="59"/>
      <c r="H56" s="33"/>
      <c r="I56" s="115"/>
    </row>
    <row r="57" spans="1:9" s="10" customFormat="1" ht="20.100000000000001" customHeight="1">
      <c r="A57" s="125">
        <v>52</v>
      </c>
      <c r="B57" s="78"/>
      <c r="C57" s="82"/>
      <c r="D57" s="63"/>
      <c r="E57" s="63"/>
      <c r="F57" s="63"/>
      <c r="G57" s="59"/>
      <c r="H57" s="33"/>
      <c r="I57" s="115"/>
    </row>
    <row r="58" spans="1:9" s="10" customFormat="1" ht="20.100000000000001" customHeight="1">
      <c r="A58" s="125">
        <v>53</v>
      </c>
      <c r="B58" s="78"/>
      <c r="C58" s="82"/>
      <c r="D58" s="63"/>
      <c r="E58" s="63"/>
      <c r="F58" s="63"/>
      <c r="G58" s="59"/>
      <c r="H58" s="33"/>
      <c r="I58" s="115"/>
    </row>
    <row r="59" spans="1:9" s="10" customFormat="1" ht="20.100000000000001" customHeight="1">
      <c r="A59" s="125">
        <v>54</v>
      </c>
      <c r="B59" s="78"/>
      <c r="C59" s="82"/>
      <c r="D59" s="63"/>
      <c r="E59" s="63"/>
      <c r="F59" s="63"/>
      <c r="G59" s="59"/>
      <c r="H59" s="33"/>
      <c r="I59" s="115"/>
    </row>
    <row r="60" spans="1:9" s="10" customFormat="1" ht="20.100000000000001" customHeight="1">
      <c r="A60" s="125">
        <v>55</v>
      </c>
      <c r="B60" s="78"/>
      <c r="C60" s="82"/>
      <c r="D60" s="63"/>
      <c r="E60" s="63"/>
      <c r="F60" s="63"/>
      <c r="G60" s="59"/>
      <c r="H60" s="33"/>
      <c r="I60" s="115"/>
    </row>
    <row r="61" spans="1:9" s="10" customFormat="1" ht="20.100000000000001" customHeight="1">
      <c r="A61" s="125">
        <v>56</v>
      </c>
      <c r="B61" s="60"/>
      <c r="C61" s="16"/>
      <c r="D61" s="33"/>
      <c r="E61" s="33"/>
      <c r="F61" s="33"/>
      <c r="G61" s="59"/>
      <c r="H61" s="33"/>
      <c r="I61" s="115"/>
    </row>
    <row r="62" spans="1:9" s="10" customFormat="1" ht="20.100000000000001" customHeight="1">
      <c r="A62" s="125">
        <v>57</v>
      </c>
      <c r="B62" s="60"/>
      <c r="C62" s="16"/>
      <c r="D62" s="33"/>
      <c r="E62" s="33"/>
      <c r="F62" s="33"/>
      <c r="G62" s="59"/>
      <c r="H62" s="33"/>
      <c r="I62" s="115"/>
    </row>
    <row r="63" spans="1:9" s="10" customFormat="1" ht="20.100000000000001" customHeight="1">
      <c r="A63" s="125">
        <v>58</v>
      </c>
      <c r="B63" s="60"/>
      <c r="C63" s="16"/>
      <c r="D63" s="33"/>
      <c r="E63" s="33"/>
      <c r="F63" s="33"/>
      <c r="G63" s="59"/>
      <c r="H63" s="33"/>
      <c r="I63" s="115"/>
    </row>
    <row r="64" spans="1:9" s="10" customFormat="1" ht="20.100000000000001" customHeight="1">
      <c r="A64" s="125">
        <v>59</v>
      </c>
      <c r="B64" s="78"/>
      <c r="C64" s="82"/>
      <c r="D64" s="63"/>
      <c r="E64" s="63"/>
      <c r="F64" s="63"/>
      <c r="G64" s="59"/>
      <c r="H64" s="33"/>
      <c r="I64" s="115"/>
    </row>
    <row r="65" spans="1:9" s="10" customFormat="1" ht="20.100000000000001" customHeight="1">
      <c r="A65" s="125">
        <v>60</v>
      </c>
      <c r="B65" s="78"/>
      <c r="C65" s="82"/>
      <c r="D65" s="63"/>
      <c r="E65" s="63"/>
      <c r="F65" s="63"/>
      <c r="G65" s="59"/>
      <c r="H65" s="33"/>
      <c r="I65" s="115"/>
    </row>
    <row r="66" spans="1:9" s="10" customFormat="1" ht="20.100000000000001" customHeight="1">
      <c r="A66" s="125">
        <v>61</v>
      </c>
      <c r="B66" s="78"/>
      <c r="C66" s="82"/>
      <c r="D66" s="63"/>
      <c r="E66" s="63"/>
      <c r="F66" s="63"/>
      <c r="G66" s="59"/>
      <c r="H66" s="33"/>
      <c r="I66" s="115"/>
    </row>
    <row r="67" spans="1:9" s="10" customFormat="1" ht="20.100000000000001" customHeight="1">
      <c r="A67" s="125">
        <v>62</v>
      </c>
      <c r="B67" s="78"/>
      <c r="C67" s="82"/>
      <c r="D67" s="63"/>
      <c r="E67" s="63"/>
      <c r="F67" s="63"/>
      <c r="G67" s="59"/>
      <c r="H67" s="33"/>
      <c r="I67" s="115"/>
    </row>
    <row r="68" spans="1:9" s="10" customFormat="1" ht="20.100000000000001" customHeight="1">
      <c r="A68" s="125">
        <v>63</v>
      </c>
      <c r="B68" s="78"/>
      <c r="C68" s="82"/>
      <c r="D68" s="63"/>
      <c r="E68" s="63"/>
      <c r="F68" s="63"/>
      <c r="G68" s="59"/>
      <c r="H68" s="33"/>
      <c r="I68" s="115"/>
    </row>
    <row r="69" spans="1:9" s="10" customFormat="1" ht="15" customHeight="1">
      <c r="A69" s="125">
        <v>64</v>
      </c>
      <c r="B69" s="78"/>
      <c r="C69" s="82"/>
      <c r="D69" s="63"/>
      <c r="E69" s="63"/>
      <c r="F69" s="63"/>
      <c r="G69" s="59"/>
      <c r="H69" s="33"/>
      <c r="I69" s="115"/>
    </row>
    <row r="70" spans="1:9" s="10" customFormat="1" ht="15" customHeight="1">
      <c r="A70" s="125">
        <v>65</v>
      </c>
      <c r="B70" s="78"/>
      <c r="C70" s="82"/>
      <c r="D70" s="63"/>
      <c r="E70" s="63"/>
      <c r="F70" s="63"/>
      <c r="G70" s="59"/>
      <c r="H70" s="33"/>
      <c r="I70" s="115"/>
    </row>
    <row r="71" spans="1:9" s="10" customFormat="1" ht="15" customHeight="1">
      <c r="A71" s="125">
        <v>66</v>
      </c>
      <c r="B71" s="78"/>
      <c r="C71" s="82"/>
      <c r="D71" s="63"/>
      <c r="E71" s="63"/>
      <c r="F71" s="63"/>
      <c r="G71" s="59"/>
      <c r="H71" s="33"/>
      <c r="I71" s="115"/>
    </row>
    <row r="72" spans="1:9" s="10" customFormat="1" ht="15" customHeight="1">
      <c r="A72" s="125">
        <v>67</v>
      </c>
      <c r="B72" s="78"/>
      <c r="C72" s="82"/>
      <c r="D72" s="63"/>
      <c r="E72" s="63"/>
      <c r="F72" s="63"/>
      <c r="G72" s="59"/>
      <c r="H72" s="33"/>
      <c r="I72" s="115"/>
    </row>
    <row r="73" spans="1:9" s="10" customFormat="1" ht="15" customHeight="1">
      <c r="A73" s="125">
        <v>68</v>
      </c>
      <c r="B73" s="78"/>
      <c r="C73" s="82"/>
      <c r="D73" s="63"/>
      <c r="E73" s="63"/>
      <c r="F73" s="63"/>
      <c r="G73" s="59"/>
      <c r="H73" s="33"/>
      <c r="I73" s="115"/>
    </row>
    <row r="74" spans="1:9" s="10" customFormat="1" ht="15" customHeight="1">
      <c r="A74" s="125">
        <v>69</v>
      </c>
      <c r="B74" s="78"/>
      <c r="C74" s="82"/>
      <c r="D74" s="63"/>
      <c r="E74" s="63"/>
      <c r="F74" s="63"/>
      <c r="G74" s="59"/>
      <c r="H74" s="33"/>
      <c r="I74" s="115"/>
    </row>
    <row r="75" spans="1:9" s="10" customFormat="1" ht="15" customHeight="1">
      <c r="A75" s="125">
        <v>70</v>
      </c>
      <c r="B75" s="78"/>
      <c r="C75" s="82"/>
      <c r="D75" s="63"/>
      <c r="E75" s="63"/>
      <c r="F75" s="63"/>
      <c r="G75" s="59"/>
      <c r="H75" s="33"/>
      <c r="I75" s="115"/>
    </row>
    <row r="76" spans="1:9" s="10" customFormat="1" ht="15" customHeight="1">
      <c r="A76" s="125">
        <v>71</v>
      </c>
      <c r="B76" s="78"/>
      <c r="C76" s="82"/>
      <c r="D76" s="63"/>
      <c r="E76" s="63"/>
      <c r="F76" s="63"/>
      <c r="G76" s="59"/>
      <c r="H76" s="33"/>
      <c r="I76" s="115"/>
    </row>
    <row r="77" spans="1:9" s="10" customFormat="1" ht="15" customHeight="1">
      <c r="A77" s="125">
        <v>72</v>
      </c>
      <c r="B77" s="78"/>
      <c r="C77" s="82"/>
      <c r="D77" s="63"/>
      <c r="E77" s="63"/>
      <c r="F77" s="63"/>
      <c r="G77" s="59"/>
      <c r="H77" s="33"/>
      <c r="I77" s="115"/>
    </row>
    <row r="78" spans="1:9" s="10" customFormat="1" ht="15" customHeight="1">
      <c r="A78" s="125">
        <v>73</v>
      </c>
      <c r="B78" s="78"/>
      <c r="C78" s="82"/>
      <c r="D78" s="63"/>
      <c r="E78" s="63"/>
      <c r="F78" s="63"/>
      <c r="G78" s="59"/>
      <c r="H78" s="33"/>
      <c r="I78" s="115"/>
    </row>
    <row r="79" spans="1:9" s="10" customFormat="1" ht="15" customHeight="1">
      <c r="A79" s="125">
        <v>74</v>
      </c>
      <c r="B79" s="78"/>
      <c r="C79" s="82"/>
      <c r="D79" s="63"/>
      <c r="E79" s="63"/>
      <c r="F79" s="63"/>
      <c r="G79" s="59"/>
      <c r="H79" s="33"/>
      <c r="I79" s="115"/>
    </row>
    <row r="80" spans="1:9" s="10" customFormat="1" ht="15" customHeight="1">
      <c r="A80" s="125">
        <v>75</v>
      </c>
      <c r="B80" s="78"/>
      <c r="C80" s="82"/>
      <c r="D80" s="63"/>
      <c r="E80" s="63"/>
      <c r="F80" s="63"/>
      <c r="G80" s="59"/>
      <c r="H80" s="33"/>
      <c r="I80" s="115"/>
    </row>
    <row r="81" spans="1:9" s="10" customFormat="1" ht="15" customHeight="1">
      <c r="A81" s="125">
        <v>76</v>
      </c>
      <c r="B81" s="78"/>
      <c r="C81" s="82"/>
      <c r="D81" s="63"/>
      <c r="E81" s="63"/>
      <c r="F81" s="63"/>
      <c r="G81" s="59"/>
      <c r="H81" s="33"/>
      <c r="I81" s="115"/>
    </row>
    <row r="82" spans="1:9" s="10" customFormat="1" ht="15" customHeight="1">
      <c r="A82" s="125">
        <v>77</v>
      </c>
      <c r="B82" s="78"/>
      <c r="C82" s="82"/>
      <c r="D82" s="63"/>
      <c r="E82" s="63"/>
      <c r="F82" s="63"/>
      <c r="G82" s="59"/>
      <c r="H82" s="33"/>
      <c r="I82" s="115"/>
    </row>
    <row r="83" spans="1:9" s="10" customFormat="1" ht="15" customHeight="1">
      <c r="A83" s="125">
        <v>78</v>
      </c>
      <c r="B83" s="78"/>
      <c r="C83" s="82"/>
      <c r="D83" s="63"/>
      <c r="E83" s="63"/>
      <c r="F83" s="63"/>
      <c r="G83" s="59"/>
      <c r="H83" s="33"/>
      <c r="I83" s="115"/>
    </row>
    <row r="84" spans="1:9" s="10" customFormat="1" ht="15" customHeight="1">
      <c r="A84" s="125">
        <v>79</v>
      </c>
      <c r="B84" s="78"/>
      <c r="C84" s="82"/>
      <c r="D84" s="63"/>
      <c r="E84" s="63"/>
      <c r="F84" s="63"/>
      <c r="G84" s="59"/>
      <c r="H84" s="33"/>
      <c r="I84" s="115"/>
    </row>
    <row r="85" spans="1:9" s="10" customFormat="1" ht="15" customHeight="1">
      <c r="A85" s="125">
        <v>80</v>
      </c>
      <c r="B85" s="78"/>
      <c r="C85" s="82"/>
      <c r="D85" s="63"/>
      <c r="E85" s="63"/>
      <c r="F85" s="63"/>
      <c r="G85" s="59"/>
      <c r="H85" s="33"/>
      <c r="I85" s="115"/>
    </row>
    <row r="86" spans="1:9" s="10" customFormat="1" ht="15" customHeight="1">
      <c r="A86" s="125">
        <v>81</v>
      </c>
      <c r="B86" s="78"/>
      <c r="C86" s="82"/>
      <c r="D86" s="63"/>
      <c r="E86" s="63"/>
      <c r="F86" s="63"/>
      <c r="G86" s="59"/>
      <c r="H86" s="33"/>
      <c r="I86" s="115"/>
    </row>
    <row r="87" spans="1:9" s="10" customFormat="1" ht="15" customHeight="1">
      <c r="A87" s="125">
        <v>82</v>
      </c>
      <c r="B87" s="78"/>
      <c r="C87" s="82"/>
      <c r="D87" s="63"/>
      <c r="E87" s="63"/>
      <c r="F87" s="63"/>
      <c r="G87" s="59"/>
      <c r="H87" s="33"/>
      <c r="I87" s="115"/>
    </row>
    <row r="88" spans="1:9" s="10" customFormat="1" ht="15" customHeight="1">
      <c r="A88" s="125">
        <v>83</v>
      </c>
      <c r="B88" s="78"/>
      <c r="C88" s="82"/>
      <c r="D88" s="63"/>
      <c r="E88" s="63"/>
      <c r="F88" s="63"/>
      <c r="G88" s="59"/>
      <c r="H88" s="33"/>
      <c r="I88" s="115"/>
    </row>
    <row r="89" spans="1:9" s="10" customFormat="1" ht="15" customHeight="1">
      <c r="A89" s="125">
        <v>84</v>
      </c>
      <c r="B89" s="78"/>
      <c r="C89" s="82"/>
      <c r="D89" s="63"/>
      <c r="E89" s="63"/>
      <c r="F89" s="63"/>
      <c r="G89" s="59"/>
      <c r="H89" s="33"/>
      <c r="I89" s="115"/>
    </row>
    <row r="90" spans="1:9" s="10" customFormat="1" ht="15" customHeight="1">
      <c r="A90" s="125">
        <v>85</v>
      </c>
      <c r="B90" s="78"/>
      <c r="C90" s="82"/>
      <c r="D90" s="63"/>
      <c r="E90" s="63"/>
      <c r="F90" s="63"/>
      <c r="G90" s="59"/>
      <c r="H90" s="33"/>
      <c r="I90" s="115"/>
    </row>
    <row r="91" spans="1:9" s="10" customFormat="1" ht="15" customHeight="1">
      <c r="A91" s="125">
        <v>86</v>
      </c>
      <c r="B91" s="78"/>
      <c r="C91" s="82"/>
      <c r="D91" s="63"/>
      <c r="E91" s="63"/>
      <c r="F91" s="63"/>
      <c r="G91" s="59"/>
      <c r="H91" s="33"/>
      <c r="I91" s="115"/>
    </row>
    <row r="92" spans="1:9" s="10" customFormat="1" ht="15" customHeight="1">
      <c r="A92" s="125">
        <v>87</v>
      </c>
      <c r="B92" s="78"/>
      <c r="C92" s="82"/>
      <c r="D92" s="63"/>
      <c r="E92" s="63"/>
      <c r="F92" s="63"/>
      <c r="G92" s="59"/>
      <c r="H92" s="33"/>
      <c r="I92" s="115"/>
    </row>
    <row r="93" spans="1:9" s="10" customFormat="1" ht="15" customHeight="1">
      <c r="A93" s="125">
        <v>88</v>
      </c>
      <c r="B93" s="78"/>
      <c r="C93" s="82"/>
      <c r="D93" s="63"/>
      <c r="E93" s="63"/>
      <c r="F93" s="63"/>
      <c r="G93" s="59"/>
      <c r="H93" s="33"/>
      <c r="I93" s="115"/>
    </row>
    <row r="94" spans="1:9" s="10" customFormat="1" ht="15" customHeight="1">
      <c r="A94" s="125">
        <v>89</v>
      </c>
      <c r="B94" s="78"/>
      <c r="C94" s="82"/>
      <c r="D94" s="63"/>
      <c r="E94" s="63"/>
      <c r="F94" s="63"/>
      <c r="G94" s="59"/>
      <c r="H94" s="33"/>
      <c r="I94" s="115"/>
    </row>
    <row r="95" spans="1:9" s="10" customFormat="1" ht="15" customHeight="1">
      <c r="A95" s="125">
        <v>90</v>
      </c>
      <c r="B95" s="78"/>
      <c r="C95" s="82"/>
      <c r="D95" s="63"/>
      <c r="E95" s="63"/>
      <c r="F95" s="63"/>
      <c r="G95" s="59"/>
      <c r="H95" s="33"/>
      <c r="I95" s="115"/>
    </row>
    <row r="96" spans="1:9" s="10" customFormat="1" ht="15" customHeight="1">
      <c r="A96" s="125">
        <v>91</v>
      </c>
      <c r="B96" s="78"/>
      <c r="C96" s="82"/>
      <c r="D96" s="63"/>
      <c r="E96" s="63"/>
      <c r="F96" s="63"/>
      <c r="G96" s="59"/>
      <c r="H96" s="33"/>
      <c r="I96" s="115"/>
    </row>
    <row r="97" spans="1:9" s="10" customFormat="1" ht="15" customHeight="1">
      <c r="A97" s="125">
        <v>92</v>
      </c>
      <c r="B97" s="78"/>
      <c r="C97" s="82"/>
      <c r="D97" s="63"/>
      <c r="E97" s="63"/>
      <c r="F97" s="63"/>
      <c r="G97" s="59"/>
      <c r="H97" s="33"/>
      <c r="I97" s="115"/>
    </row>
    <row r="98" spans="1:9" s="10" customFormat="1" ht="15" customHeight="1">
      <c r="A98" s="125">
        <v>93</v>
      </c>
      <c r="B98" s="78"/>
      <c r="C98" s="82"/>
      <c r="D98" s="63"/>
      <c r="E98" s="63"/>
      <c r="F98" s="63"/>
      <c r="G98" s="59"/>
      <c r="H98" s="33"/>
      <c r="I98" s="115"/>
    </row>
    <row r="99" spans="1:9" s="10" customFormat="1" ht="15" customHeight="1">
      <c r="A99" s="125">
        <v>94</v>
      </c>
      <c r="B99" s="78"/>
      <c r="C99" s="82"/>
      <c r="D99" s="63"/>
      <c r="E99" s="63"/>
      <c r="F99" s="63"/>
      <c r="G99" s="59"/>
      <c r="H99" s="33"/>
      <c r="I99" s="115"/>
    </row>
    <row r="100" spans="1:9" s="10" customFormat="1" ht="15" customHeight="1">
      <c r="A100" s="125">
        <v>95</v>
      </c>
      <c r="B100" s="78"/>
      <c r="C100" s="82"/>
      <c r="D100" s="63"/>
      <c r="E100" s="63"/>
      <c r="F100" s="63"/>
      <c r="G100" s="59"/>
      <c r="H100" s="33"/>
      <c r="I100" s="115"/>
    </row>
    <row r="101" spans="1:9" s="10" customFormat="1" ht="15" customHeight="1">
      <c r="A101" s="125">
        <v>96</v>
      </c>
      <c r="B101" s="60"/>
      <c r="C101" s="83"/>
      <c r="D101" s="33"/>
      <c r="E101" s="33"/>
      <c r="F101" s="33"/>
      <c r="G101" s="30"/>
      <c r="H101" s="33"/>
      <c r="I101" s="115"/>
    </row>
    <row r="102" spans="1:9" s="10" customFormat="1" ht="15" customHeight="1">
      <c r="A102" s="125">
        <v>97</v>
      </c>
      <c r="B102" s="60"/>
      <c r="C102" s="16"/>
      <c r="D102" s="33"/>
      <c r="E102" s="33"/>
      <c r="F102" s="33"/>
      <c r="G102" s="30"/>
      <c r="H102" s="33"/>
      <c r="I102" s="115"/>
    </row>
    <row r="103" spans="1:9" s="10" customFormat="1" ht="15" customHeight="1">
      <c r="A103" s="125">
        <v>98</v>
      </c>
      <c r="B103" s="60"/>
      <c r="C103" s="16"/>
      <c r="D103" s="33"/>
      <c r="E103" s="33"/>
      <c r="F103" s="33"/>
      <c r="G103" s="30"/>
      <c r="H103" s="33"/>
      <c r="I103" s="115"/>
    </row>
    <row r="104" spans="1:9" s="10" customFormat="1" ht="15" customHeight="1">
      <c r="A104" s="125">
        <v>99</v>
      </c>
      <c r="B104" s="60"/>
      <c r="C104" s="16"/>
      <c r="D104" s="33"/>
      <c r="E104" s="33"/>
      <c r="F104" s="33"/>
      <c r="G104" s="30"/>
      <c r="H104" s="33"/>
      <c r="I104" s="115"/>
    </row>
    <row r="105" spans="1:9" s="10" customFormat="1" ht="15" customHeight="1">
      <c r="A105" s="126">
        <v>100</v>
      </c>
      <c r="B105" s="127"/>
      <c r="C105" s="143"/>
      <c r="D105" s="119"/>
      <c r="E105" s="119"/>
      <c r="F105" s="119"/>
      <c r="G105" s="118"/>
      <c r="H105" s="119"/>
      <c r="I105" s="121"/>
    </row>
    <row r="106" spans="1:9" ht="20.25">
      <c r="B106" s="41"/>
      <c r="C106" s="42"/>
      <c r="D106" s="42"/>
      <c r="E106" s="42"/>
      <c r="F106" s="42"/>
      <c r="G106" s="42"/>
      <c r="H106" s="42"/>
      <c r="I106" s="42"/>
    </row>
  </sheetData>
  <autoFilter ref="B5:G105" xr:uid="{CE6C056B-1174-47E5-B58F-BD1F5280A530}"/>
  <mergeCells count="5">
    <mergeCell ref="A1:A5"/>
    <mergeCell ref="B1:I2"/>
    <mergeCell ref="H3:I3"/>
    <mergeCell ref="B3:B4"/>
    <mergeCell ref="C3:C4"/>
  </mergeCells>
  <dataValidations count="1">
    <dataValidation allowBlank="1" showErrorMessage="1" sqref="C5:D5" xr:uid="{BCD983B1-641D-4210-94AE-FAEE5BAFE596}"/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4B0F7AF3-893C-4FDD-8D5D-194C51C9CFCC}">
          <x14:formula1>
            <xm:f>DATA!$D$2:$D$17</xm:f>
          </x14:formula1>
          <xm:sqref>C6:C105</xm:sqref>
        </x14:dataValidation>
        <x14:dataValidation type="list" allowBlank="1" showInputMessage="1" showErrorMessage="1" xr:uid="{82F10E56-0477-4DA5-9BCD-AB07F3FC2ED8}">
          <x14:formula1>
            <xm:f>DATA!$C$2:$C$6</xm:f>
          </x14:formula1>
          <xm:sqref>G6:G105</xm:sqref>
        </x14:dataValidation>
        <x14:dataValidation type="list" allowBlank="1" showInputMessage="1" showErrorMessage="1" xr:uid="{F5262661-2125-43B3-A28A-A321BD4E71BC}">
          <x14:formula1>
            <xm:f>DATA!$B$4:$B$10</xm:f>
          </x14:formula1>
          <xm:sqref>H4</xm:sqref>
        </x14:dataValidation>
        <x14:dataValidation type="list" allowBlank="1" showInputMessage="1" showErrorMessage="1" xr:uid="{455AE34D-3A7D-4092-B619-68F497251563}">
          <x14:formula1>
            <xm:f>DATA!$B$2:$B$20</xm:f>
          </x14:formula1>
          <xm:sqref>I6:I7 D6:D105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316A9-835B-431B-8D8B-C6142A5FE146}">
  <sheetPr codeName="Planilha10"/>
  <dimension ref="A1:L106"/>
  <sheetViews>
    <sheetView tabSelected="1" zoomScale="90" zoomScaleNormal="90" workbookViewId="0">
      <selection activeCell="F20" sqref="F20"/>
    </sheetView>
  </sheetViews>
  <sheetFormatPr defaultRowHeight="15"/>
  <cols>
    <col min="1" max="1" width="4.42578125" style="49" customWidth="1"/>
    <col min="2" max="2" width="40.7109375" style="43" customWidth="1"/>
    <col min="3" max="3" width="55.7109375" style="44" customWidth="1"/>
    <col min="4" max="4" width="30.7109375" style="44" customWidth="1"/>
    <col min="5" max="5" width="20.7109375" style="44" customWidth="1"/>
    <col min="6" max="6" width="30.7109375" style="44" customWidth="1"/>
    <col min="7" max="7" width="20.7109375" style="44" customWidth="1"/>
    <col min="8" max="8" width="34.7109375" style="44" customWidth="1"/>
    <col min="9" max="9" width="19.7109375" style="44" customWidth="1"/>
    <col min="10" max="10" width="10.5703125" style="10" bestFit="1" customWidth="1"/>
    <col min="11" max="12" width="9.140625" style="10"/>
    <col min="13" max="16384" width="9.140625" style="8"/>
  </cols>
  <sheetData>
    <row r="1" spans="1:10" ht="15" customHeight="1">
      <c r="A1" s="128" t="s">
        <v>58</v>
      </c>
      <c r="B1" s="123" t="s">
        <v>84</v>
      </c>
      <c r="C1" s="101"/>
      <c r="D1" s="101"/>
      <c r="E1" s="101"/>
      <c r="F1" s="101"/>
      <c r="G1" s="101"/>
      <c r="H1" s="101"/>
      <c r="I1" s="102"/>
      <c r="J1" s="9"/>
    </row>
    <row r="2" spans="1:10" ht="33.75" customHeight="1">
      <c r="A2" s="129"/>
      <c r="B2" s="93"/>
      <c r="C2" s="94"/>
      <c r="D2" s="94"/>
      <c r="E2" s="94"/>
      <c r="F2" s="94"/>
      <c r="G2" s="94"/>
      <c r="H2" s="94"/>
      <c r="I2" s="104"/>
      <c r="J2" s="9"/>
    </row>
    <row r="3" spans="1:10" ht="42.75" customHeight="1">
      <c r="A3" s="129"/>
      <c r="B3" s="96" t="s">
        <v>25</v>
      </c>
      <c r="C3" s="98">
        <f>E3-E4-(SUMIFS(E6:E105,G6:G105,"Reserva") + SUMIFS(E6:E105,G6:G105,"Investimento"))</f>
        <v>0</v>
      </c>
      <c r="D3" s="35" t="s">
        <v>36</v>
      </c>
      <c r="E3" s="65">
        <f>SUMIF(($G$6:$G$105),"Receita",($E$6:$E$105))</f>
        <v>0</v>
      </c>
      <c r="F3" s="67" t="s">
        <v>38</v>
      </c>
      <c r="G3" s="34">
        <f>SUMIF(($G$6:$G$105),"Custo",($E$6:$E$105))</f>
        <v>0</v>
      </c>
      <c r="H3" s="95" t="s">
        <v>56</v>
      </c>
      <c r="I3" s="106"/>
    </row>
    <row r="4" spans="1:10" ht="31.5" customHeight="1">
      <c r="A4" s="129"/>
      <c r="B4" s="97"/>
      <c r="C4" s="99"/>
      <c r="D4" s="35" t="s">
        <v>37</v>
      </c>
      <c r="E4" s="65">
        <f>G3+G4</f>
        <v>0</v>
      </c>
      <c r="F4" s="67" t="s">
        <v>39</v>
      </c>
      <c r="G4" s="34">
        <f>SUMIF(($G$6:$G$105),"Gasto",($E$6:$E$105))</f>
        <v>0</v>
      </c>
      <c r="H4" s="66" t="s">
        <v>0</v>
      </c>
      <c r="I4" s="108">
        <f>SUMIF(D6:D105,H4,E6:E105)</f>
        <v>0</v>
      </c>
    </row>
    <row r="5" spans="1:10" ht="23.25" customHeight="1">
      <c r="A5" s="129"/>
      <c r="B5" s="18" t="s">
        <v>20</v>
      </c>
      <c r="C5" s="13" t="s">
        <v>15</v>
      </c>
      <c r="D5" s="13" t="s">
        <v>16</v>
      </c>
      <c r="E5" s="13" t="s">
        <v>17</v>
      </c>
      <c r="F5" s="13" t="s">
        <v>18</v>
      </c>
      <c r="G5" s="13" t="s">
        <v>19</v>
      </c>
      <c r="H5" s="14"/>
      <c r="I5" s="110"/>
    </row>
    <row r="6" spans="1:10" s="10" customFormat="1" ht="20.100000000000001" customHeight="1">
      <c r="A6" s="130">
        <v>1</v>
      </c>
      <c r="B6" s="47"/>
      <c r="C6" s="79"/>
      <c r="D6" s="29"/>
      <c r="E6" s="22"/>
      <c r="F6" s="25"/>
      <c r="G6" s="29"/>
      <c r="H6" s="33"/>
      <c r="I6" s="112"/>
      <c r="J6" s="11"/>
    </row>
    <row r="7" spans="1:10" s="10" customFormat="1" ht="20.100000000000001" customHeight="1">
      <c r="A7" s="130">
        <v>2</v>
      </c>
      <c r="B7" s="47"/>
      <c r="C7" s="79"/>
      <c r="D7" s="31"/>
      <c r="E7" s="22"/>
      <c r="F7" s="25"/>
      <c r="G7" s="30"/>
      <c r="H7" s="33"/>
      <c r="I7" s="112"/>
      <c r="J7" s="12"/>
    </row>
    <row r="8" spans="1:10" s="10" customFormat="1" ht="20.100000000000001" customHeight="1">
      <c r="A8" s="130">
        <v>3</v>
      </c>
      <c r="B8" s="48"/>
      <c r="C8" s="80"/>
      <c r="D8" s="31"/>
      <c r="E8" s="23"/>
      <c r="F8" s="26"/>
      <c r="G8" s="28"/>
      <c r="H8" s="17"/>
      <c r="I8" s="131"/>
      <c r="J8" s="12"/>
    </row>
    <row r="9" spans="1:10" s="10" customFormat="1" ht="20.100000000000001" customHeight="1">
      <c r="A9" s="130">
        <v>4</v>
      </c>
      <c r="B9" s="48"/>
      <c r="C9" s="80"/>
      <c r="D9" s="31"/>
      <c r="E9" s="23"/>
      <c r="F9" s="26"/>
      <c r="G9" s="28"/>
      <c r="H9" s="17"/>
      <c r="I9" s="131"/>
      <c r="J9" s="12"/>
    </row>
    <row r="10" spans="1:10" s="10" customFormat="1" ht="20.100000000000001" customHeight="1">
      <c r="A10" s="130">
        <v>5</v>
      </c>
      <c r="B10" s="48"/>
      <c r="C10" s="80"/>
      <c r="D10" s="31"/>
      <c r="E10" s="23"/>
      <c r="F10" s="26"/>
      <c r="G10" s="28"/>
      <c r="H10" s="17"/>
      <c r="I10" s="131"/>
      <c r="J10" s="12"/>
    </row>
    <row r="11" spans="1:10" s="10" customFormat="1" ht="20.100000000000001" customHeight="1">
      <c r="A11" s="130">
        <v>6</v>
      </c>
      <c r="B11" s="48"/>
      <c r="C11" s="80"/>
      <c r="D11" s="31"/>
      <c r="E11" s="23"/>
      <c r="F11" s="26"/>
      <c r="G11" s="28"/>
      <c r="H11" s="17"/>
      <c r="I11" s="131"/>
      <c r="J11" s="12"/>
    </row>
    <row r="12" spans="1:10" s="10" customFormat="1" ht="20.100000000000001" customHeight="1">
      <c r="A12" s="130">
        <v>7</v>
      </c>
      <c r="B12" s="48"/>
      <c r="C12" s="80"/>
      <c r="D12" s="28"/>
      <c r="E12" s="23"/>
      <c r="F12" s="26"/>
      <c r="G12" s="28"/>
      <c r="H12" s="17"/>
      <c r="I12" s="131"/>
      <c r="J12" s="12"/>
    </row>
    <row r="13" spans="1:10" s="10" customFormat="1" ht="20.100000000000001" customHeight="1">
      <c r="A13" s="130">
        <v>8</v>
      </c>
      <c r="B13" s="48"/>
      <c r="C13" s="80"/>
      <c r="D13" s="31"/>
      <c r="E13" s="23"/>
      <c r="F13" s="26"/>
      <c r="G13" s="28"/>
      <c r="H13" s="17"/>
      <c r="I13" s="132"/>
    </row>
    <row r="14" spans="1:10" s="10" customFormat="1" ht="20.100000000000001" customHeight="1">
      <c r="A14" s="130">
        <v>9</v>
      </c>
      <c r="B14" s="32"/>
      <c r="C14" s="80"/>
      <c r="D14" s="31"/>
      <c r="E14" s="24"/>
      <c r="F14" s="27"/>
      <c r="G14" s="28"/>
      <c r="H14" s="17"/>
      <c r="I14" s="132"/>
    </row>
    <row r="15" spans="1:10" s="10" customFormat="1" ht="20.100000000000001" customHeight="1">
      <c r="A15" s="130">
        <v>10</v>
      </c>
      <c r="B15" s="32"/>
      <c r="C15" s="15"/>
      <c r="D15" s="28"/>
      <c r="E15" s="24"/>
      <c r="F15" s="27"/>
      <c r="G15" s="28"/>
      <c r="H15" s="17"/>
      <c r="I15" s="132"/>
    </row>
    <row r="16" spans="1:10" s="10" customFormat="1" ht="20.100000000000001" customHeight="1">
      <c r="A16" s="130">
        <v>11</v>
      </c>
      <c r="B16" s="32"/>
      <c r="C16" s="15"/>
      <c r="D16" s="31"/>
      <c r="E16" s="24"/>
      <c r="F16" s="27"/>
      <c r="G16" s="28"/>
      <c r="H16" s="17"/>
      <c r="I16" s="132"/>
    </row>
    <row r="17" spans="1:9" s="10" customFormat="1" ht="20.100000000000001" customHeight="1">
      <c r="A17" s="130">
        <v>12</v>
      </c>
      <c r="B17" s="32"/>
      <c r="C17" s="15"/>
      <c r="D17" s="28"/>
      <c r="E17" s="24"/>
      <c r="F17" s="28"/>
      <c r="G17" s="28"/>
      <c r="H17" s="17"/>
      <c r="I17" s="132"/>
    </row>
    <row r="18" spans="1:9" s="10" customFormat="1" ht="20.100000000000001" customHeight="1">
      <c r="A18" s="130">
        <v>13</v>
      </c>
      <c r="B18" s="32"/>
      <c r="C18" s="15"/>
      <c r="D18" s="28"/>
      <c r="E18" s="24"/>
      <c r="F18" s="28"/>
      <c r="G18" s="28"/>
      <c r="H18" s="17"/>
      <c r="I18" s="132"/>
    </row>
    <row r="19" spans="1:9" s="10" customFormat="1" ht="20.100000000000001" customHeight="1">
      <c r="A19" s="130">
        <v>14</v>
      </c>
      <c r="B19" s="32"/>
      <c r="C19" s="15"/>
      <c r="D19" s="28"/>
      <c r="E19" s="24"/>
      <c r="F19" s="28"/>
      <c r="G19" s="28"/>
      <c r="H19" s="17"/>
      <c r="I19" s="132"/>
    </row>
    <row r="20" spans="1:9" s="10" customFormat="1" ht="20.100000000000001" customHeight="1">
      <c r="A20" s="130">
        <v>15</v>
      </c>
      <c r="B20" s="32"/>
      <c r="C20" s="15"/>
      <c r="D20" s="31"/>
      <c r="E20" s="24"/>
      <c r="F20" s="27"/>
      <c r="G20" s="28"/>
      <c r="H20" s="17"/>
      <c r="I20" s="132"/>
    </row>
    <row r="21" spans="1:9" s="10" customFormat="1" ht="20.100000000000001" customHeight="1">
      <c r="A21" s="130">
        <v>16</v>
      </c>
      <c r="B21" s="32"/>
      <c r="C21" s="15"/>
      <c r="D21" s="31"/>
      <c r="E21" s="24"/>
      <c r="F21" s="28"/>
      <c r="G21" s="28"/>
      <c r="H21" s="17"/>
      <c r="I21" s="132"/>
    </row>
    <row r="22" spans="1:9" s="10" customFormat="1" ht="20.100000000000001" customHeight="1">
      <c r="A22" s="130">
        <v>17</v>
      </c>
      <c r="B22" s="32"/>
      <c r="C22" s="15"/>
      <c r="D22" s="28"/>
      <c r="E22" s="24"/>
      <c r="F22" s="28"/>
      <c r="G22" s="28"/>
      <c r="H22" s="17"/>
      <c r="I22" s="132"/>
    </row>
    <row r="23" spans="1:9" s="10" customFormat="1" ht="20.100000000000001" customHeight="1">
      <c r="A23" s="130">
        <v>18</v>
      </c>
      <c r="B23" s="48"/>
      <c r="C23" s="80"/>
      <c r="D23" s="31"/>
      <c r="E23" s="23"/>
      <c r="F23" s="26"/>
      <c r="G23" s="28"/>
      <c r="H23" s="17"/>
      <c r="I23" s="132"/>
    </row>
    <row r="24" spans="1:9" s="10" customFormat="1" ht="20.100000000000001" customHeight="1">
      <c r="A24" s="130">
        <v>19</v>
      </c>
      <c r="B24" s="32"/>
      <c r="C24" s="15"/>
      <c r="D24" s="28"/>
      <c r="E24" s="24"/>
      <c r="F24" s="28"/>
      <c r="G24" s="28"/>
      <c r="H24" s="17"/>
      <c r="I24" s="132"/>
    </row>
    <row r="25" spans="1:9" s="10" customFormat="1" ht="20.100000000000001" customHeight="1">
      <c r="A25" s="130">
        <v>20</v>
      </c>
      <c r="B25" s="32"/>
      <c r="C25" s="15"/>
      <c r="D25" s="28"/>
      <c r="E25" s="24"/>
      <c r="F25" s="28"/>
      <c r="G25" s="28"/>
      <c r="H25" s="17"/>
      <c r="I25" s="132"/>
    </row>
    <row r="26" spans="1:9" s="10" customFormat="1" ht="20.100000000000001" customHeight="1">
      <c r="A26" s="130">
        <v>21</v>
      </c>
      <c r="B26" s="32"/>
      <c r="C26" s="15"/>
      <c r="D26" s="28"/>
      <c r="E26" s="24"/>
      <c r="F26" s="28"/>
      <c r="G26" s="28"/>
      <c r="H26" s="17"/>
      <c r="I26" s="132"/>
    </row>
    <row r="27" spans="1:9" s="10" customFormat="1" ht="20.100000000000001" customHeight="1">
      <c r="A27" s="130">
        <v>22</v>
      </c>
      <c r="B27" s="32"/>
      <c r="C27" s="15"/>
      <c r="D27" s="28"/>
      <c r="E27" s="24"/>
      <c r="F27" s="28"/>
      <c r="G27" s="28"/>
      <c r="H27" s="17"/>
      <c r="I27" s="132"/>
    </row>
    <row r="28" spans="1:9" s="10" customFormat="1" ht="20.100000000000001" customHeight="1">
      <c r="A28" s="130">
        <v>23</v>
      </c>
      <c r="B28" s="32"/>
      <c r="C28" s="15"/>
      <c r="D28" s="28"/>
      <c r="E28" s="24"/>
      <c r="F28" s="28"/>
      <c r="G28" s="28"/>
      <c r="H28" s="17"/>
      <c r="I28" s="132"/>
    </row>
    <row r="29" spans="1:9" s="10" customFormat="1" ht="20.100000000000001" customHeight="1">
      <c r="A29" s="130">
        <v>24</v>
      </c>
      <c r="B29" s="32"/>
      <c r="C29" s="15"/>
      <c r="D29" s="28"/>
      <c r="E29" s="24"/>
      <c r="F29" s="28"/>
      <c r="G29" s="28"/>
      <c r="H29" s="17"/>
      <c r="I29" s="132"/>
    </row>
    <row r="30" spans="1:9" s="10" customFormat="1" ht="20.100000000000001" customHeight="1">
      <c r="A30" s="130">
        <v>25</v>
      </c>
      <c r="B30" s="32"/>
      <c r="C30" s="15"/>
      <c r="D30" s="31"/>
      <c r="E30" s="24"/>
      <c r="F30" s="28"/>
      <c r="G30" s="28"/>
      <c r="H30" s="17"/>
      <c r="I30" s="132"/>
    </row>
    <row r="31" spans="1:9" s="10" customFormat="1" ht="20.100000000000001" customHeight="1">
      <c r="A31" s="130">
        <v>26</v>
      </c>
      <c r="B31" s="32"/>
      <c r="C31" s="15"/>
      <c r="D31" s="28"/>
      <c r="E31" s="24"/>
      <c r="F31" s="28"/>
      <c r="G31" s="28"/>
      <c r="H31" s="17"/>
      <c r="I31" s="132"/>
    </row>
    <row r="32" spans="1:9" s="10" customFormat="1" ht="20.100000000000001" customHeight="1">
      <c r="A32" s="130">
        <v>27</v>
      </c>
      <c r="B32" s="32"/>
      <c r="C32" s="15"/>
      <c r="D32" s="28"/>
      <c r="E32" s="24"/>
      <c r="F32" s="28"/>
      <c r="G32" s="28"/>
      <c r="H32" s="17"/>
      <c r="I32" s="132"/>
    </row>
    <row r="33" spans="1:9" s="10" customFormat="1" ht="20.100000000000001" customHeight="1">
      <c r="A33" s="130">
        <v>28</v>
      </c>
      <c r="B33" s="32"/>
      <c r="C33" s="15"/>
      <c r="D33" s="28"/>
      <c r="E33" s="24"/>
      <c r="F33" s="27"/>
      <c r="G33" s="28"/>
      <c r="H33" s="17"/>
      <c r="I33" s="132"/>
    </row>
    <row r="34" spans="1:9" s="10" customFormat="1" ht="20.100000000000001" customHeight="1">
      <c r="A34" s="130">
        <v>29</v>
      </c>
      <c r="B34" s="32"/>
      <c r="C34" s="15"/>
      <c r="D34" s="28"/>
      <c r="E34" s="24"/>
      <c r="F34" s="27"/>
      <c r="G34" s="28"/>
      <c r="H34" s="17"/>
      <c r="I34" s="132"/>
    </row>
    <row r="35" spans="1:9" s="10" customFormat="1" ht="20.100000000000001" customHeight="1">
      <c r="A35" s="130">
        <v>30</v>
      </c>
      <c r="B35" s="32"/>
      <c r="C35" s="15"/>
      <c r="D35" s="28"/>
      <c r="E35" s="24"/>
      <c r="F35" s="27"/>
      <c r="G35" s="28"/>
      <c r="H35" s="17"/>
      <c r="I35" s="132"/>
    </row>
    <row r="36" spans="1:9" s="10" customFormat="1" ht="20.100000000000001" customHeight="1">
      <c r="A36" s="130">
        <v>31</v>
      </c>
      <c r="B36" s="32"/>
      <c r="C36" s="15"/>
      <c r="D36" s="28"/>
      <c r="E36" s="24"/>
      <c r="F36" s="27"/>
      <c r="G36" s="28"/>
      <c r="H36" s="17"/>
      <c r="I36" s="132"/>
    </row>
    <row r="37" spans="1:9" s="10" customFormat="1" ht="20.100000000000001" customHeight="1">
      <c r="A37" s="130">
        <v>32</v>
      </c>
      <c r="B37" s="32"/>
      <c r="C37" s="15"/>
      <c r="D37" s="17"/>
      <c r="E37" s="17"/>
      <c r="F37" s="17"/>
      <c r="G37" s="28"/>
      <c r="H37" s="17"/>
      <c r="I37" s="132"/>
    </row>
    <row r="38" spans="1:9" s="10" customFormat="1" ht="20.100000000000001" customHeight="1">
      <c r="A38" s="130">
        <v>33</v>
      </c>
      <c r="B38" s="32"/>
      <c r="C38" s="15"/>
      <c r="D38" s="17"/>
      <c r="E38" s="17"/>
      <c r="F38" s="17"/>
      <c r="G38" s="28"/>
      <c r="H38" s="17"/>
      <c r="I38" s="132"/>
    </row>
    <row r="39" spans="1:9" s="10" customFormat="1" ht="20.100000000000001" customHeight="1">
      <c r="A39" s="130">
        <v>34</v>
      </c>
      <c r="B39" s="32"/>
      <c r="C39" s="15"/>
      <c r="D39" s="17"/>
      <c r="E39" s="17"/>
      <c r="F39" s="17"/>
      <c r="G39" s="28"/>
      <c r="H39" s="17"/>
      <c r="I39" s="132"/>
    </row>
    <row r="40" spans="1:9" s="10" customFormat="1" ht="20.100000000000001" customHeight="1">
      <c r="A40" s="130">
        <v>35</v>
      </c>
      <c r="B40" s="32"/>
      <c r="C40" s="15"/>
      <c r="D40" s="17"/>
      <c r="E40" s="17"/>
      <c r="F40" s="17"/>
      <c r="G40" s="28"/>
      <c r="H40" s="17"/>
      <c r="I40" s="132"/>
    </row>
    <row r="41" spans="1:9" s="10" customFormat="1" ht="20.100000000000001" customHeight="1">
      <c r="A41" s="130">
        <v>36</v>
      </c>
      <c r="B41" s="32"/>
      <c r="C41" s="15"/>
      <c r="D41" s="17"/>
      <c r="E41" s="17"/>
      <c r="F41" s="17"/>
      <c r="G41" s="28"/>
      <c r="H41" s="17"/>
      <c r="I41" s="132"/>
    </row>
    <row r="42" spans="1:9" s="10" customFormat="1" ht="20.100000000000001" customHeight="1">
      <c r="A42" s="130">
        <v>37</v>
      </c>
      <c r="B42" s="32"/>
      <c r="C42" s="15"/>
      <c r="D42" s="17"/>
      <c r="E42" s="17"/>
      <c r="F42" s="36"/>
      <c r="G42" s="28"/>
      <c r="H42" s="17"/>
      <c r="I42" s="132"/>
    </row>
    <row r="43" spans="1:9" s="10" customFormat="1" ht="20.100000000000001" customHeight="1">
      <c r="A43" s="130">
        <v>38</v>
      </c>
      <c r="B43" s="45"/>
      <c r="C43" s="81"/>
      <c r="D43" s="38"/>
      <c r="E43" s="39"/>
      <c r="F43" s="39"/>
      <c r="G43" s="28"/>
      <c r="H43" s="17"/>
      <c r="I43" s="132"/>
    </row>
    <row r="44" spans="1:9" s="10" customFormat="1" ht="20.100000000000001" customHeight="1">
      <c r="A44" s="130">
        <v>39</v>
      </c>
      <c r="B44" s="45"/>
      <c r="C44" s="81"/>
      <c r="D44" s="38"/>
      <c r="E44" s="39"/>
      <c r="F44" s="39"/>
      <c r="G44" s="28"/>
      <c r="H44" s="17"/>
      <c r="I44" s="132"/>
    </row>
    <row r="45" spans="1:9" s="10" customFormat="1" ht="20.100000000000001" customHeight="1">
      <c r="A45" s="130">
        <v>40</v>
      </c>
      <c r="B45" s="45"/>
      <c r="C45" s="81"/>
      <c r="D45" s="38"/>
      <c r="E45" s="39"/>
      <c r="F45" s="39"/>
      <c r="G45" s="28"/>
      <c r="H45" s="17"/>
      <c r="I45" s="132"/>
    </row>
    <row r="46" spans="1:9" s="10" customFormat="1" ht="20.100000000000001" customHeight="1">
      <c r="A46" s="130">
        <v>41</v>
      </c>
      <c r="B46" s="45"/>
      <c r="C46" s="81"/>
      <c r="D46" s="38"/>
      <c r="E46" s="39"/>
      <c r="F46" s="39"/>
      <c r="G46" s="40"/>
      <c r="H46" s="17"/>
      <c r="I46" s="132"/>
    </row>
    <row r="47" spans="1:9" s="10" customFormat="1" ht="20.100000000000001" customHeight="1">
      <c r="A47" s="130">
        <v>42</v>
      </c>
      <c r="B47" s="45"/>
      <c r="C47" s="81"/>
      <c r="D47" s="38"/>
      <c r="E47" s="39"/>
      <c r="F47" s="39"/>
      <c r="G47" s="40"/>
      <c r="H47" s="17"/>
      <c r="I47" s="132"/>
    </row>
    <row r="48" spans="1:9" s="10" customFormat="1" ht="20.100000000000001" customHeight="1">
      <c r="A48" s="130">
        <v>43</v>
      </c>
      <c r="B48" s="45"/>
      <c r="C48" s="81"/>
      <c r="D48" s="38"/>
      <c r="E48" s="39"/>
      <c r="F48" s="39"/>
      <c r="G48" s="40"/>
      <c r="H48" s="17"/>
      <c r="I48" s="132"/>
    </row>
    <row r="49" spans="1:9" s="10" customFormat="1" ht="20.100000000000001" customHeight="1">
      <c r="A49" s="130">
        <v>44</v>
      </c>
      <c r="B49" s="45"/>
      <c r="C49" s="81"/>
      <c r="D49" s="38"/>
      <c r="E49" s="39"/>
      <c r="F49" s="39"/>
      <c r="G49" s="40"/>
      <c r="H49" s="17"/>
      <c r="I49" s="132"/>
    </row>
    <row r="50" spans="1:9" s="10" customFormat="1" ht="20.100000000000001" customHeight="1">
      <c r="A50" s="130">
        <v>45</v>
      </c>
      <c r="B50" s="45"/>
      <c r="C50" s="81"/>
      <c r="D50" s="38"/>
      <c r="E50" s="39"/>
      <c r="F50" s="39"/>
      <c r="G50" s="40"/>
      <c r="H50" s="17"/>
      <c r="I50" s="132"/>
    </row>
    <row r="51" spans="1:9" s="10" customFormat="1" ht="20.100000000000001" customHeight="1">
      <c r="A51" s="130">
        <v>46</v>
      </c>
      <c r="B51" s="45"/>
      <c r="C51" s="81"/>
      <c r="D51" s="38"/>
      <c r="E51" s="39"/>
      <c r="F51" s="39"/>
      <c r="G51" s="40"/>
      <c r="H51" s="17"/>
      <c r="I51" s="132"/>
    </row>
    <row r="52" spans="1:9" s="10" customFormat="1" ht="20.100000000000001" customHeight="1">
      <c r="A52" s="130">
        <v>47</v>
      </c>
      <c r="B52" s="45"/>
      <c r="C52" s="81"/>
      <c r="D52" s="38"/>
      <c r="E52" s="39"/>
      <c r="F52" s="39"/>
      <c r="G52" s="40"/>
      <c r="H52" s="17"/>
      <c r="I52" s="132"/>
    </row>
    <row r="53" spans="1:9" s="10" customFormat="1" ht="20.100000000000001" customHeight="1">
      <c r="A53" s="130">
        <v>48</v>
      </c>
      <c r="B53" s="45"/>
      <c r="C53" s="81"/>
      <c r="D53" s="38"/>
      <c r="E53" s="39"/>
      <c r="F53" s="39"/>
      <c r="G53" s="40"/>
      <c r="H53" s="17"/>
      <c r="I53" s="132"/>
    </row>
    <row r="54" spans="1:9" s="10" customFormat="1" ht="20.100000000000001" customHeight="1">
      <c r="A54" s="130">
        <v>49</v>
      </c>
      <c r="B54" s="45"/>
      <c r="C54" s="81"/>
      <c r="D54" s="38"/>
      <c r="E54" s="39"/>
      <c r="F54" s="39"/>
      <c r="G54" s="40"/>
      <c r="H54" s="17"/>
      <c r="I54" s="132"/>
    </row>
    <row r="55" spans="1:9" s="10" customFormat="1" ht="20.100000000000001" customHeight="1">
      <c r="A55" s="130">
        <v>50</v>
      </c>
      <c r="B55" s="45"/>
      <c r="C55" s="81"/>
      <c r="D55" s="38"/>
      <c r="E55" s="39"/>
      <c r="F55" s="39"/>
      <c r="G55" s="40"/>
      <c r="H55" s="17"/>
      <c r="I55" s="132"/>
    </row>
    <row r="56" spans="1:9" s="10" customFormat="1" ht="20.100000000000001" customHeight="1">
      <c r="A56" s="130">
        <v>51</v>
      </c>
      <c r="B56" s="45"/>
      <c r="C56" s="81"/>
      <c r="D56" s="38"/>
      <c r="E56" s="39"/>
      <c r="F56" s="39"/>
      <c r="G56" s="40"/>
      <c r="H56" s="17"/>
      <c r="I56" s="132"/>
    </row>
    <row r="57" spans="1:9" s="10" customFormat="1" ht="20.100000000000001" customHeight="1">
      <c r="A57" s="130">
        <v>52</v>
      </c>
      <c r="B57" s="45"/>
      <c r="C57" s="81"/>
      <c r="D57" s="38"/>
      <c r="E57" s="39"/>
      <c r="F57" s="39"/>
      <c r="G57" s="40"/>
      <c r="H57" s="17"/>
      <c r="I57" s="132"/>
    </row>
    <row r="58" spans="1:9" s="10" customFormat="1" ht="20.100000000000001" customHeight="1">
      <c r="A58" s="130">
        <v>53</v>
      </c>
      <c r="B58" s="45"/>
      <c r="C58" s="81"/>
      <c r="D58" s="38"/>
      <c r="E58" s="39"/>
      <c r="F58" s="39"/>
      <c r="G58" s="40"/>
      <c r="H58" s="17"/>
      <c r="I58" s="132"/>
    </row>
    <row r="59" spans="1:9" s="10" customFormat="1" ht="20.100000000000001" customHeight="1">
      <c r="A59" s="130">
        <v>54</v>
      </c>
      <c r="B59" s="45"/>
      <c r="C59" s="81"/>
      <c r="D59" s="38"/>
      <c r="E59" s="39"/>
      <c r="F59" s="39"/>
      <c r="G59" s="40"/>
      <c r="H59" s="17"/>
      <c r="I59" s="132"/>
    </row>
    <row r="60" spans="1:9" s="10" customFormat="1" ht="20.100000000000001" customHeight="1">
      <c r="A60" s="130">
        <v>55</v>
      </c>
      <c r="B60" s="45"/>
      <c r="C60" s="81"/>
      <c r="D60" s="38"/>
      <c r="E60" s="39"/>
      <c r="F60" s="39"/>
      <c r="G60" s="40"/>
      <c r="H60" s="17"/>
      <c r="I60" s="132"/>
    </row>
    <row r="61" spans="1:9" s="10" customFormat="1" ht="20.100000000000001" customHeight="1">
      <c r="A61" s="130">
        <v>56</v>
      </c>
      <c r="B61" s="32"/>
      <c r="C61" s="15"/>
      <c r="D61" s="17"/>
      <c r="E61" s="17"/>
      <c r="F61" s="17"/>
      <c r="G61" s="40"/>
      <c r="H61" s="17"/>
      <c r="I61" s="132"/>
    </row>
    <row r="62" spans="1:9" s="10" customFormat="1" ht="20.100000000000001" customHeight="1">
      <c r="A62" s="130">
        <v>57</v>
      </c>
      <c r="B62" s="32"/>
      <c r="C62" s="15"/>
      <c r="D62" s="17"/>
      <c r="E62" s="17"/>
      <c r="F62" s="17"/>
      <c r="G62" s="40"/>
      <c r="H62" s="17"/>
      <c r="I62" s="132"/>
    </row>
    <row r="63" spans="1:9" s="10" customFormat="1" ht="20.100000000000001" customHeight="1">
      <c r="A63" s="130">
        <v>58</v>
      </c>
      <c r="B63" s="32"/>
      <c r="C63" s="15"/>
      <c r="D63" s="17"/>
      <c r="E63" s="17"/>
      <c r="F63" s="17"/>
      <c r="G63" s="40"/>
      <c r="H63" s="17"/>
      <c r="I63" s="132"/>
    </row>
    <row r="64" spans="1:9" s="10" customFormat="1" ht="20.100000000000001" customHeight="1">
      <c r="A64" s="130">
        <v>59</v>
      </c>
      <c r="B64" s="45"/>
      <c r="C64" s="81"/>
      <c r="D64" s="38"/>
      <c r="E64" s="39"/>
      <c r="F64" s="39"/>
      <c r="G64" s="40"/>
      <c r="H64" s="17"/>
      <c r="I64" s="132"/>
    </row>
    <row r="65" spans="1:9" s="10" customFormat="1" ht="20.100000000000001" customHeight="1">
      <c r="A65" s="130">
        <v>60</v>
      </c>
      <c r="B65" s="45"/>
      <c r="C65" s="81"/>
      <c r="D65" s="38"/>
      <c r="E65" s="39"/>
      <c r="F65" s="39"/>
      <c r="G65" s="40"/>
      <c r="H65" s="17"/>
      <c r="I65" s="132"/>
    </row>
    <row r="66" spans="1:9" s="10" customFormat="1" ht="20.100000000000001" customHeight="1">
      <c r="A66" s="130">
        <v>61</v>
      </c>
      <c r="B66" s="45"/>
      <c r="C66" s="81"/>
      <c r="D66" s="38"/>
      <c r="E66" s="39"/>
      <c r="F66" s="39"/>
      <c r="G66" s="40"/>
      <c r="H66" s="17"/>
      <c r="I66" s="132"/>
    </row>
    <row r="67" spans="1:9" s="10" customFormat="1" ht="20.100000000000001" customHeight="1">
      <c r="A67" s="130">
        <v>62</v>
      </c>
      <c r="B67" s="45"/>
      <c r="C67" s="81"/>
      <c r="D67" s="38"/>
      <c r="E67" s="39"/>
      <c r="F67" s="39"/>
      <c r="G67" s="40"/>
      <c r="H67" s="17"/>
      <c r="I67" s="132"/>
    </row>
    <row r="68" spans="1:9" s="10" customFormat="1" ht="20.100000000000001" customHeight="1">
      <c r="A68" s="130">
        <v>63</v>
      </c>
      <c r="B68" s="45"/>
      <c r="C68" s="81"/>
      <c r="D68" s="38"/>
      <c r="E68" s="39"/>
      <c r="F68" s="39"/>
      <c r="G68" s="40"/>
      <c r="H68" s="17"/>
      <c r="I68" s="132"/>
    </row>
    <row r="69" spans="1:9" s="10" customFormat="1" ht="15" customHeight="1">
      <c r="A69" s="130">
        <v>64</v>
      </c>
      <c r="B69" s="45"/>
      <c r="C69" s="81"/>
      <c r="D69" s="38"/>
      <c r="E69" s="39"/>
      <c r="F69" s="39"/>
      <c r="G69" s="40"/>
      <c r="H69" s="17"/>
      <c r="I69" s="132"/>
    </row>
    <row r="70" spans="1:9" s="10" customFormat="1" ht="15" customHeight="1">
      <c r="A70" s="130">
        <v>65</v>
      </c>
      <c r="B70" s="45"/>
      <c r="C70" s="81"/>
      <c r="D70" s="38"/>
      <c r="E70" s="39"/>
      <c r="F70" s="39"/>
      <c r="G70" s="40"/>
      <c r="H70" s="17"/>
      <c r="I70" s="132"/>
    </row>
    <row r="71" spans="1:9" s="10" customFormat="1" ht="15" customHeight="1">
      <c r="A71" s="130">
        <v>66</v>
      </c>
      <c r="B71" s="45"/>
      <c r="C71" s="81"/>
      <c r="D71" s="38"/>
      <c r="E71" s="39"/>
      <c r="F71" s="39"/>
      <c r="G71" s="40"/>
      <c r="H71" s="17"/>
      <c r="I71" s="132"/>
    </row>
    <row r="72" spans="1:9" s="10" customFormat="1" ht="15" customHeight="1">
      <c r="A72" s="130">
        <v>67</v>
      </c>
      <c r="B72" s="45"/>
      <c r="C72" s="81"/>
      <c r="D72" s="38"/>
      <c r="E72" s="39"/>
      <c r="F72" s="39"/>
      <c r="G72" s="40"/>
      <c r="H72" s="17"/>
      <c r="I72" s="132"/>
    </row>
    <row r="73" spans="1:9" s="10" customFormat="1" ht="15" customHeight="1">
      <c r="A73" s="130">
        <v>68</v>
      </c>
      <c r="B73" s="45"/>
      <c r="C73" s="81"/>
      <c r="D73" s="38"/>
      <c r="E73" s="39"/>
      <c r="F73" s="39"/>
      <c r="G73" s="40"/>
      <c r="H73" s="17"/>
      <c r="I73" s="132"/>
    </row>
    <row r="74" spans="1:9" s="10" customFormat="1" ht="15" customHeight="1">
      <c r="A74" s="130">
        <v>69</v>
      </c>
      <c r="B74" s="45"/>
      <c r="C74" s="81"/>
      <c r="D74" s="38"/>
      <c r="E74" s="39"/>
      <c r="F74" s="39"/>
      <c r="G74" s="40"/>
      <c r="H74" s="17"/>
      <c r="I74" s="132"/>
    </row>
    <row r="75" spans="1:9" s="10" customFormat="1" ht="15" customHeight="1">
      <c r="A75" s="130">
        <v>70</v>
      </c>
      <c r="B75" s="45"/>
      <c r="C75" s="81"/>
      <c r="D75" s="38"/>
      <c r="E75" s="39"/>
      <c r="F75" s="39"/>
      <c r="G75" s="40"/>
      <c r="H75" s="17"/>
      <c r="I75" s="132"/>
    </row>
    <row r="76" spans="1:9" s="10" customFormat="1" ht="15" customHeight="1">
      <c r="A76" s="130">
        <v>71</v>
      </c>
      <c r="B76" s="45"/>
      <c r="C76" s="81"/>
      <c r="D76" s="38"/>
      <c r="E76" s="39"/>
      <c r="F76" s="39"/>
      <c r="G76" s="40"/>
      <c r="H76" s="17"/>
      <c r="I76" s="132"/>
    </row>
    <row r="77" spans="1:9" s="10" customFormat="1" ht="15" customHeight="1">
      <c r="A77" s="130">
        <v>72</v>
      </c>
      <c r="B77" s="45"/>
      <c r="C77" s="81"/>
      <c r="D77" s="38"/>
      <c r="E77" s="39"/>
      <c r="F77" s="39"/>
      <c r="G77" s="40"/>
      <c r="H77" s="17"/>
      <c r="I77" s="132"/>
    </row>
    <row r="78" spans="1:9" s="10" customFormat="1" ht="15" customHeight="1">
      <c r="A78" s="130">
        <v>73</v>
      </c>
      <c r="B78" s="45"/>
      <c r="C78" s="81"/>
      <c r="D78" s="38"/>
      <c r="E78" s="39"/>
      <c r="F78" s="39"/>
      <c r="G78" s="40"/>
      <c r="H78" s="17"/>
      <c r="I78" s="132"/>
    </row>
    <row r="79" spans="1:9" s="10" customFormat="1" ht="15" customHeight="1">
      <c r="A79" s="130">
        <v>74</v>
      </c>
      <c r="B79" s="45"/>
      <c r="C79" s="81"/>
      <c r="D79" s="38"/>
      <c r="E79" s="39"/>
      <c r="F79" s="39"/>
      <c r="G79" s="40"/>
      <c r="H79" s="17"/>
      <c r="I79" s="132"/>
    </row>
    <row r="80" spans="1:9" s="10" customFormat="1" ht="15" customHeight="1">
      <c r="A80" s="130">
        <v>75</v>
      </c>
      <c r="B80" s="45"/>
      <c r="C80" s="81"/>
      <c r="D80" s="38"/>
      <c r="E80" s="39"/>
      <c r="F80" s="39"/>
      <c r="G80" s="40"/>
      <c r="H80" s="17"/>
      <c r="I80" s="132"/>
    </row>
    <row r="81" spans="1:9" s="10" customFormat="1" ht="15" customHeight="1">
      <c r="A81" s="130">
        <v>76</v>
      </c>
      <c r="B81" s="45"/>
      <c r="C81" s="81"/>
      <c r="D81" s="38"/>
      <c r="E81" s="39"/>
      <c r="F81" s="39"/>
      <c r="G81" s="40"/>
      <c r="H81" s="17"/>
      <c r="I81" s="132"/>
    </row>
    <row r="82" spans="1:9" s="10" customFormat="1" ht="15" customHeight="1">
      <c r="A82" s="130">
        <v>77</v>
      </c>
      <c r="B82" s="45"/>
      <c r="C82" s="81"/>
      <c r="D82" s="38"/>
      <c r="E82" s="39"/>
      <c r="F82" s="39"/>
      <c r="G82" s="40"/>
      <c r="H82" s="17"/>
      <c r="I82" s="132"/>
    </row>
    <row r="83" spans="1:9" s="10" customFormat="1" ht="15" customHeight="1">
      <c r="A83" s="130">
        <v>78</v>
      </c>
      <c r="B83" s="45"/>
      <c r="C83" s="81"/>
      <c r="D83" s="38"/>
      <c r="E83" s="39"/>
      <c r="F83" s="39"/>
      <c r="G83" s="40"/>
      <c r="H83" s="17"/>
      <c r="I83" s="132"/>
    </row>
    <row r="84" spans="1:9" s="10" customFormat="1" ht="15" customHeight="1">
      <c r="A84" s="130">
        <v>79</v>
      </c>
      <c r="B84" s="45"/>
      <c r="C84" s="81"/>
      <c r="D84" s="38"/>
      <c r="E84" s="39"/>
      <c r="F84" s="39"/>
      <c r="G84" s="40"/>
      <c r="H84" s="17"/>
      <c r="I84" s="132"/>
    </row>
    <row r="85" spans="1:9" s="10" customFormat="1" ht="15" customHeight="1">
      <c r="A85" s="130">
        <v>80</v>
      </c>
      <c r="B85" s="45"/>
      <c r="C85" s="81"/>
      <c r="D85" s="39"/>
      <c r="E85" s="39"/>
      <c r="F85" s="39"/>
      <c r="G85" s="40"/>
      <c r="H85" s="17"/>
      <c r="I85" s="132"/>
    </row>
    <row r="86" spans="1:9" s="10" customFormat="1" ht="15" customHeight="1">
      <c r="A86" s="130">
        <v>81</v>
      </c>
      <c r="B86" s="45"/>
      <c r="C86" s="81"/>
      <c r="D86" s="39"/>
      <c r="E86" s="39"/>
      <c r="F86" s="39"/>
      <c r="G86" s="40"/>
      <c r="H86" s="17"/>
      <c r="I86" s="132"/>
    </row>
    <row r="87" spans="1:9" s="10" customFormat="1" ht="15" customHeight="1">
      <c r="A87" s="130">
        <v>82</v>
      </c>
      <c r="B87" s="45"/>
      <c r="C87" s="81"/>
      <c r="D87" s="39"/>
      <c r="E87" s="39"/>
      <c r="F87" s="39"/>
      <c r="G87" s="40"/>
      <c r="H87" s="17"/>
      <c r="I87" s="132"/>
    </row>
    <row r="88" spans="1:9" s="10" customFormat="1" ht="15" customHeight="1">
      <c r="A88" s="130">
        <v>83</v>
      </c>
      <c r="B88" s="45"/>
      <c r="C88" s="81"/>
      <c r="D88" s="39"/>
      <c r="E88" s="39"/>
      <c r="F88" s="39"/>
      <c r="G88" s="40"/>
      <c r="H88" s="17"/>
      <c r="I88" s="132"/>
    </row>
    <row r="89" spans="1:9" s="10" customFormat="1" ht="15" customHeight="1">
      <c r="A89" s="130">
        <v>84</v>
      </c>
      <c r="B89" s="45"/>
      <c r="C89" s="81"/>
      <c r="D89" s="39"/>
      <c r="E89" s="39"/>
      <c r="F89" s="39"/>
      <c r="G89" s="40"/>
      <c r="H89" s="17"/>
      <c r="I89" s="132"/>
    </row>
    <row r="90" spans="1:9" s="10" customFormat="1" ht="15" customHeight="1">
      <c r="A90" s="130">
        <v>85</v>
      </c>
      <c r="B90" s="45"/>
      <c r="C90" s="81"/>
      <c r="D90" s="39"/>
      <c r="E90" s="39"/>
      <c r="F90" s="39"/>
      <c r="G90" s="40"/>
      <c r="H90" s="17"/>
      <c r="I90" s="132"/>
    </row>
    <row r="91" spans="1:9" s="10" customFormat="1" ht="15" customHeight="1">
      <c r="A91" s="130">
        <v>86</v>
      </c>
      <c r="B91" s="45"/>
      <c r="C91" s="81"/>
      <c r="D91" s="39"/>
      <c r="E91" s="39"/>
      <c r="F91" s="39"/>
      <c r="G91" s="40"/>
      <c r="H91" s="17"/>
      <c r="I91" s="132"/>
    </row>
    <row r="92" spans="1:9" s="10" customFormat="1" ht="15" customHeight="1">
      <c r="A92" s="130">
        <v>87</v>
      </c>
      <c r="B92" s="45"/>
      <c r="C92" s="81"/>
      <c r="D92" s="39"/>
      <c r="E92" s="39"/>
      <c r="F92" s="39"/>
      <c r="G92" s="40"/>
      <c r="H92" s="17"/>
      <c r="I92" s="132"/>
    </row>
    <row r="93" spans="1:9" s="10" customFormat="1" ht="15" customHeight="1">
      <c r="A93" s="130">
        <v>88</v>
      </c>
      <c r="B93" s="45"/>
      <c r="C93" s="81"/>
      <c r="D93" s="39"/>
      <c r="E93" s="39"/>
      <c r="F93" s="39"/>
      <c r="G93" s="40"/>
      <c r="H93" s="17"/>
      <c r="I93" s="132"/>
    </row>
    <row r="94" spans="1:9" s="10" customFormat="1" ht="15" customHeight="1">
      <c r="A94" s="130">
        <v>89</v>
      </c>
      <c r="B94" s="45"/>
      <c r="C94" s="81"/>
      <c r="D94" s="39"/>
      <c r="E94" s="39"/>
      <c r="F94" s="39"/>
      <c r="G94" s="40"/>
      <c r="H94" s="17"/>
      <c r="I94" s="132"/>
    </row>
    <row r="95" spans="1:9" s="10" customFormat="1" ht="15" customHeight="1">
      <c r="A95" s="130">
        <v>90</v>
      </c>
      <c r="B95" s="45"/>
      <c r="C95" s="81"/>
      <c r="D95" s="39"/>
      <c r="E95" s="39"/>
      <c r="F95" s="39"/>
      <c r="G95" s="40"/>
      <c r="H95" s="17"/>
      <c r="I95" s="132"/>
    </row>
    <row r="96" spans="1:9" s="10" customFormat="1" ht="15" customHeight="1">
      <c r="A96" s="130">
        <v>91</v>
      </c>
      <c r="B96" s="45"/>
      <c r="C96" s="81"/>
      <c r="D96" s="39"/>
      <c r="E96" s="39"/>
      <c r="F96" s="39"/>
      <c r="G96" s="40"/>
      <c r="H96" s="17"/>
      <c r="I96" s="132"/>
    </row>
    <row r="97" spans="1:9" s="10" customFormat="1" ht="15" customHeight="1">
      <c r="A97" s="130">
        <v>92</v>
      </c>
      <c r="B97" s="45"/>
      <c r="C97" s="81"/>
      <c r="D97" s="39"/>
      <c r="E97" s="39"/>
      <c r="F97" s="39"/>
      <c r="G97" s="40"/>
      <c r="H97" s="17"/>
      <c r="I97" s="132"/>
    </row>
    <row r="98" spans="1:9" s="10" customFormat="1" ht="15" customHeight="1">
      <c r="A98" s="130">
        <v>93</v>
      </c>
      <c r="B98" s="45"/>
      <c r="C98" s="81"/>
      <c r="D98" s="39"/>
      <c r="E98" s="39"/>
      <c r="F98" s="39"/>
      <c r="G98" s="40"/>
      <c r="H98" s="17"/>
      <c r="I98" s="132"/>
    </row>
    <row r="99" spans="1:9" s="10" customFormat="1" ht="15" customHeight="1">
      <c r="A99" s="130">
        <v>94</v>
      </c>
      <c r="B99" s="45"/>
      <c r="C99" s="81"/>
      <c r="D99" s="39"/>
      <c r="E99" s="39"/>
      <c r="F99" s="39"/>
      <c r="G99" s="40"/>
      <c r="H99" s="17"/>
      <c r="I99" s="132"/>
    </row>
    <row r="100" spans="1:9" s="10" customFormat="1" ht="15" customHeight="1">
      <c r="A100" s="130">
        <v>95</v>
      </c>
      <c r="B100" s="45"/>
      <c r="C100" s="81"/>
      <c r="D100" s="39"/>
      <c r="E100" s="39"/>
      <c r="F100" s="39"/>
      <c r="G100" s="40"/>
      <c r="H100" s="17"/>
      <c r="I100" s="132"/>
    </row>
    <row r="101" spans="1:9" s="10" customFormat="1" ht="15" customHeight="1">
      <c r="A101" s="130">
        <v>96</v>
      </c>
      <c r="B101" s="32"/>
      <c r="C101" s="46"/>
      <c r="D101" s="17"/>
      <c r="E101" s="17"/>
      <c r="F101" s="17"/>
      <c r="G101" s="28"/>
      <c r="H101" s="17"/>
      <c r="I101" s="132"/>
    </row>
    <row r="102" spans="1:9" s="10" customFormat="1" ht="15" customHeight="1">
      <c r="A102" s="130">
        <v>97</v>
      </c>
      <c r="B102" s="32"/>
      <c r="C102" s="15"/>
      <c r="D102" s="17"/>
      <c r="E102" s="17"/>
      <c r="F102" s="17"/>
      <c r="G102" s="28"/>
      <c r="H102" s="17"/>
      <c r="I102" s="132"/>
    </row>
    <row r="103" spans="1:9" s="10" customFormat="1" ht="15" customHeight="1">
      <c r="A103" s="130">
        <v>98</v>
      </c>
      <c r="B103" s="32"/>
      <c r="C103" s="15"/>
      <c r="D103" s="17"/>
      <c r="E103" s="17"/>
      <c r="F103" s="17"/>
      <c r="G103" s="28"/>
      <c r="H103" s="17"/>
      <c r="I103" s="132"/>
    </row>
    <row r="104" spans="1:9" s="10" customFormat="1" ht="15" customHeight="1">
      <c r="A104" s="130">
        <v>99</v>
      </c>
      <c r="B104" s="32"/>
      <c r="C104" s="15"/>
      <c r="D104" s="17"/>
      <c r="E104" s="17"/>
      <c r="F104" s="17"/>
      <c r="G104" s="28"/>
      <c r="H104" s="17"/>
      <c r="I104" s="132"/>
    </row>
    <row r="105" spans="1:9" s="10" customFormat="1" ht="15" customHeight="1">
      <c r="A105" s="133">
        <v>100</v>
      </c>
      <c r="B105" s="134"/>
      <c r="C105" s="138"/>
      <c r="D105" s="135"/>
      <c r="E105" s="135"/>
      <c r="F105" s="135"/>
      <c r="G105" s="136"/>
      <c r="H105" s="135"/>
      <c r="I105" s="137"/>
    </row>
    <row r="106" spans="1:9" ht="20.25">
      <c r="B106" s="41"/>
      <c r="C106" s="42"/>
      <c r="D106" s="42"/>
      <c r="E106" s="42"/>
      <c r="F106" s="42"/>
      <c r="G106" s="42"/>
      <c r="H106" s="42"/>
      <c r="I106" s="42"/>
    </row>
  </sheetData>
  <autoFilter ref="B5:G105" xr:uid="{CE6C056B-1174-47E5-B58F-BD1F5280A530}"/>
  <mergeCells count="5">
    <mergeCell ref="A1:A5"/>
    <mergeCell ref="B1:I2"/>
    <mergeCell ref="H3:I3"/>
    <mergeCell ref="B3:B4"/>
    <mergeCell ref="C3:C4"/>
  </mergeCells>
  <dataValidations count="1">
    <dataValidation allowBlank="1" showErrorMessage="1" sqref="C5:D5" xr:uid="{0F25FA2C-5FCE-433A-9F0A-E2C97AF32ADF}"/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2FE87F1-6821-409A-8721-1E61BB768C1E}">
          <x14:formula1>
            <xm:f>DATA!$B$4:$B$10</xm:f>
          </x14:formula1>
          <xm:sqref>H4</xm:sqref>
        </x14:dataValidation>
        <x14:dataValidation type="list" allowBlank="1" showInputMessage="1" showErrorMessage="1" xr:uid="{5C6E59C5-9048-4F2B-AADB-F070EC5107F8}">
          <x14:formula1>
            <xm:f>DATA!$C$2:$C$6</xm:f>
          </x14:formula1>
          <xm:sqref>G6:G105</xm:sqref>
        </x14:dataValidation>
        <x14:dataValidation type="list" allowBlank="1" showErrorMessage="1" xr:uid="{9278224D-0A72-453F-B9DE-909D712B7955}">
          <x14:formula1>
            <xm:f>DATA!$D$2:$D$17</xm:f>
          </x14:formula1>
          <xm:sqref>C6:C105</xm:sqref>
        </x14:dataValidation>
        <x14:dataValidation type="list" allowBlank="1" showInputMessage="1" showErrorMessage="1" xr:uid="{0C964306-56D6-437A-831A-834B461F1FB7}">
          <x14:formula1>
            <xm:f>DATA!$B$2:$B$20</xm:f>
          </x14:formula1>
          <xm:sqref>I6:I7 D6:D105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77078-F3B9-4242-83EC-FDB48E4DAAF6}">
  <sheetPr codeName="Planilha11"/>
  <dimension ref="A1:L106"/>
  <sheetViews>
    <sheetView zoomScale="90" zoomScaleNormal="90" workbookViewId="0">
      <selection activeCell="B1" sqref="B1:I2"/>
    </sheetView>
  </sheetViews>
  <sheetFormatPr defaultRowHeight="15"/>
  <cols>
    <col min="1" max="1" width="4.42578125" style="49" customWidth="1"/>
    <col min="2" max="2" width="40.7109375" style="43" customWidth="1"/>
    <col min="3" max="3" width="55.7109375" style="44" customWidth="1"/>
    <col min="4" max="4" width="30.7109375" style="44" customWidth="1"/>
    <col min="5" max="5" width="20.7109375" style="44" customWidth="1"/>
    <col min="6" max="6" width="30.7109375" style="44" customWidth="1"/>
    <col min="7" max="7" width="20.7109375" style="44" customWidth="1"/>
    <col min="8" max="8" width="34.7109375" style="44" customWidth="1"/>
    <col min="9" max="9" width="19.7109375" style="44" customWidth="1"/>
    <col min="10" max="10" width="10.5703125" style="10" bestFit="1" customWidth="1"/>
    <col min="11" max="12" width="9.140625" style="10"/>
    <col min="13" max="16384" width="9.140625" style="8"/>
  </cols>
  <sheetData>
    <row r="1" spans="1:10" ht="15" customHeight="1">
      <c r="A1" s="128" t="s">
        <v>58</v>
      </c>
      <c r="B1" s="123" t="s">
        <v>83</v>
      </c>
      <c r="C1" s="101"/>
      <c r="D1" s="101"/>
      <c r="E1" s="101"/>
      <c r="F1" s="101"/>
      <c r="G1" s="101"/>
      <c r="H1" s="101"/>
      <c r="I1" s="102"/>
      <c r="J1" s="9"/>
    </row>
    <row r="2" spans="1:10" ht="33.75" customHeight="1">
      <c r="A2" s="129"/>
      <c r="B2" s="93"/>
      <c r="C2" s="94"/>
      <c r="D2" s="94"/>
      <c r="E2" s="94"/>
      <c r="F2" s="94"/>
      <c r="G2" s="94"/>
      <c r="H2" s="94"/>
      <c r="I2" s="104"/>
      <c r="J2" s="9"/>
    </row>
    <row r="3" spans="1:10" ht="42.75" customHeight="1">
      <c r="A3" s="129"/>
      <c r="B3" s="96" t="s">
        <v>25</v>
      </c>
      <c r="C3" s="98">
        <f>E3-E4-(SUMIFS(E6:E105,G6:G105,"Reserva") + SUMIFS(E6:E105,G6:G105,"Investimento"))</f>
        <v>0</v>
      </c>
      <c r="D3" s="35" t="s">
        <v>36</v>
      </c>
      <c r="E3" s="65">
        <f>SUMIF(($G$6:$G$105),"Receita",($E$6:$E$105))</f>
        <v>0</v>
      </c>
      <c r="F3" s="67" t="s">
        <v>38</v>
      </c>
      <c r="G3" s="34">
        <f>SUMIF(($G$6:$G$105),"Custo",($E$6:$E$105))</f>
        <v>0</v>
      </c>
      <c r="H3" s="95" t="s">
        <v>56</v>
      </c>
      <c r="I3" s="106"/>
    </row>
    <row r="4" spans="1:10" ht="31.5" customHeight="1">
      <c r="A4" s="129"/>
      <c r="B4" s="97"/>
      <c r="C4" s="99"/>
      <c r="D4" s="35" t="s">
        <v>37</v>
      </c>
      <c r="E4" s="65">
        <f>G3+G4</f>
        <v>0</v>
      </c>
      <c r="F4" s="67" t="s">
        <v>39</v>
      </c>
      <c r="G4" s="34">
        <f>SUMIF(($G$6:$G$105),"Gasto",($E$6:$E$105))</f>
        <v>0</v>
      </c>
      <c r="H4" s="66" t="s">
        <v>0</v>
      </c>
      <c r="I4" s="108">
        <f>SUMIF(D6:D105,H4,E6:E105)</f>
        <v>0</v>
      </c>
    </row>
    <row r="5" spans="1:10" ht="23.25" customHeight="1">
      <c r="A5" s="129"/>
      <c r="B5" s="18" t="s">
        <v>20</v>
      </c>
      <c r="C5" s="13" t="s">
        <v>15</v>
      </c>
      <c r="D5" s="13" t="s">
        <v>16</v>
      </c>
      <c r="E5" s="13" t="s">
        <v>17</v>
      </c>
      <c r="F5" s="13" t="s">
        <v>18</v>
      </c>
      <c r="G5" s="13" t="s">
        <v>19</v>
      </c>
      <c r="H5" s="14"/>
      <c r="I5" s="110"/>
    </row>
    <row r="6" spans="1:10" s="10" customFormat="1" ht="20.100000000000001" customHeight="1">
      <c r="A6" s="130">
        <v>1</v>
      </c>
      <c r="B6" s="47"/>
      <c r="C6" s="79"/>
      <c r="D6" s="29"/>
      <c r="E6" s="22"/>
      <c r="F6" s="25"/>
      <c r="G6" s="29"/>
      <c r="H6" s="33"/>
      <c r="I6" s="112"/>
      <c r="J6" s="11"/>
    </row>
    <row r="7" spans="1:10" s="10" customFormat="1" ht="20.100000000000001" customHeight="1">
      <c r="A7" s="130">
        <v>2</v>
      </c>
      <c r="B7" s="47"/>
      <c r="C7" s="79"/>
      <c r="D7" s="31"/>
      <c r="E7" s="22"/>
      <c r="F7" s="25"/>
      <c r="G7" s="30"/>
      <c r="H7" s="33"/>
      <c r="I7" s="112"/>
      <c r="J7" s="12"/>
    </row>
    <row r="8" spans="1:10" s="10" customFormat="1" ht="20.100000000000001" customHeight="1">
      <c r="A8" s="130">
        <v>3</v>
      </c>
      <c r="B8" s="48"/>
      <c r="C8" s="80"/>
      <c r="D8" s="31"/>
      <c r="E8" s="23"/>
      <c r="F8" s="26"/>
      <c r="G8" s="28"/>
      <c r="H8" s="17"/>
      <c r="I8" s="131"/>
      <c r="J8" s="12"/>
    </row>
    <row r="9" spans="1:10" s="10" customFormat="1" ht="20.100000000000001" customHeight="1">
      <c r="A9" s="130">
        <v>4</v>
      </c>
      <c r="B9" s="48"/>
      <c r="C9" s="80"/>
      <c r="D9" s="31"/>
      <c r="E9" s="23"/>
      <c r="F9" s="26"/>
      <c r="G9" s="28"/>
      <c r="H9" s="17"/>
      <c r="I9" s="131"/>
      <c r="J9" s="12"/>
    </row>
    <row r="10" spans="1:10" s="10" customFormat="1" ht="20.100000000000001" customHeight="1">
      <c r="A10" s="130">
        <v>5</v>
      </c>
      <c r="B10" s="48"/>
      <c r="C10" s="80"/>
      <c r="D10" s="31"/>
      <c r="E10" s="23"/>
      <c r="F10" s="26"/>
      <c r="G10" s="28"/>
      <c r="H10" s="17"/>
      <c r="I10" s="131"/>
      <c r="J10" s="12"/>
    </row>
    <row r="11" spans="1:10" s="10" customFormat="1" ht="20.100000000000001" customHeight="1">
      <c r="A11" s="130">
        <v>6</v>
      </c>
      <c r="B11" s="48"/>
      <c r="C11" s="80"/>
      <c r="D11" s="31"/>
      <c r="E11" s="23"/>
      <c r="F11" s="26"/>
      <c r="G11" s="28"/>
      <c r="H11" s="17"/>
      <c r="I11" s="131"/>
      <c r="J11" s="12"/>
    </row>
    <row r="12" spans="1:10" s="10" customFormat="1" ht="20.100000000000001" customHeight="1">
      <c r="A12" s="130">
        <v>7</v>
      </c>
      <c r="B12" s="48"/>
      <c r="C12" s="80"/>
      <c r="D12" s="28"/>
      <c r="E12" s="23"/>
      <c r="F12" s="26"/>
      <c r="G12" s="28"/>
      <c r="H12" s="17"/>
      <c r="I12" s="131"/>
      <c r="J12" s="12"/>
    </row>
    <row r="13" spans="1:10" s="10" customFormat="1" ht="20.100000000000001" customHeight="1">
      <c r="A13" s="130">
        <v>8</v>
      </c>
      <c r="B13" s="48"/>
      <c r="C13" s="80"/>
      <c r="D13" s="31"/>
      <c r="E13" s="23"/>
      <c r="F13" s="26"/>
      <c r="G13" s="28"/>
      <c r="H13" s="17"/>
      <c r="I13" s="132"/>
    </row>
    <row r="14" spans="1:10" s="10" customFormat="1" ht="20.100000000000001" customHeight="1">
      <c r="A14" s="130">
        <v>9</v>
      </c>
      <c r="B14" s="32"/>
      <c r="C14" s="80"/>
      <c r="D14" s="31"/>
      <c r="E14" s="24"/>
      <c r="F14" s="27"/>
      <c r="G14" s="28"/>
      <c r="H14" s="17"/>
      <c r="I14" s="132"/>
    </row>
    <row r="15" spans="1:10" s="10" customFormat="1" ht="20.100000000000001" customHeight="1">
      <c r="A15" s="130">
        <v>10</v>
      </c>
      <c r="B15" s="32"/>
      <c r="C15" s="15"/>
      <c r="D15" s="28"/>
      <c r="E15" s="24"/>
      <c r="F15" s="27"/>
      <c r="G15" s="28"/>
      <c r="H15" s="17"/>
      <c r="I15" s="132"/>
    </row>
    <row r="16" spans="1:10" s="10" customFormat="1" ht="20.100000000000001" customHeight="1">
      <c r="A16" s="130">
        <v>11</v>
      </c>
      <c r="B16" s="32"/>
      <c r="C16" s="15"/>
      <c r="D16" s="31"/>
      <c r="E16" s="24"/>
      <c r="F16" s="27"/>
      <c r="G16" s="28"/>
      <c r="H16" s="17"/>
      <c r="I16" s="132"/>
    </row>
    <row r="17" spans="1:9" s="10" customFormat="1" ht="20.100000000000001" customHeight="1">
      <c r="A17" s="130">
        <v>12</v>
      </c>
      <c r="B17" s="32"/>
      <c r="C17" s="15"/>
      <c r="D17" s="28"/>
      <c r="E17" s="24"/>
      <c r="F17" s="28"/>
      <c r="G17" s="28"/>
      <c r="H17" s="17"/>
      <c r="I17" s="132"/>
    </row>
    <row r="18" spans="1:9" s="10" customFormat="1" ht="20.100000000000001" customHeight="1">
      <c r="A18" s="130">
        <v>13</v>
      </c>
      <c r="B18" s="32"/>
      <c r="C18" s="15"/>
      <c r="D18" s="28"/>
      <c r="E18" s="24"/>
      <c r="F18" s="28"/>
      <c r="G18" s="28"/>
      <c r="H18" s="17"/>
      <c r="I18" s="132"/>
    </row>
    <row r="19" spans="1:9" s="10" customFormat="1" ht="20.100000000000001" customHeight="1">
      <c r="A19" s="130">
        <v>14</v>
      </c>
      <c r="B19" s="32"/>
      <c r="C19" s="15"/>
      <c r="D19" s="28"/>
      <c r="E19" s="24"/>
      <c r="F19" s="28"/>
      <c r="G19" s="28"/>
      <c r="H19" s="17"/>
      <c r="I19" s="132"/>
    </row>
    <row r="20" spans="1:9" s="10" customFormat="1" ht="20.100000000000001" customHeight="1">
      <c r="A20" s="130">
        <v>15</v>
      </c>
      <c r="B20" s="32"/>
      <c r="C20" s="15"/>
      <c r="D20" s="31"/>
      <c r="E20" s="24"/>
      <c r="F20" s="27"/>
      <c r="G20" s="28"/>
      <c r="H20" s="17"/>
      <c r="I20" s="132"/>
    </row>
    <row r="21" spans="1:9" s="10" customFormat="1" ht="20.100000000000001" customHeight="1">
      <c r="A21" s="130">
        <v>16</v>
      </c>
      <c r="B21" s="32"/>
      <c r="C21" s="15"/>
      <c r="D21" s="31"/>
      <c r="E21" s="24"/>
      <c r="F21" s="28"/>
      <c r="G21" s="28"/>
      <c r="H21" s="17"/>
      <c r="I21" s="132"/>
    </row>
    <row r="22" spans="1:9" s="10" customFormat="1" ht="20.100000000000001" customHeight="1">
      <c r="A22" s="130">
        <v>17</v>
      </c>
      <c r="B22" s="32"/>
      <c r="C22" s="15"/>
      <c r="D22" s="28"/>
      <c r="E22" s="24"/>
      <c r="F22" s="28"/>
      <c r="G22" s="28"/>
      <c r="H22" s="17"/>
      <c r="I22" s="132"/>
    </row>
    <row r="23" spans="1:9" s="10" customFormat="1" ht="20.100000000000001" customHeight="1">
      <c r="A23" s="130">
        <v>18</v>
      </c>
      <c r="B23" s="48"/>
      <c r="C23" s="80"/>
      <c r="D23" s="31"/>
      <c r="E23" s="23"/>
      <c r="F23" s="26"/>
      <c r="G23" s="28"/>
      <c r="H23" s="17"/>
      <c r="I23" s="132"/>
    </row>
    <row r="24" spans="1:9" s="10" customFormat="1" ht="20.100000000000001" customHeight="1">
      <c r="A24" s="130">
        <v>19</v>
      </c>
      <c r="B24" s="32"/>
      <c r="C24" s="15"/>
      <c r="D24" s="28"/>
      <c r="E24" s="24"/>
      <c r="F24" s="28"/>
      <c r="G24" s="28"/>
      <c r="H24" s="17"/>
      <c r="I24" s="132"/>
    </row>
    <row r="25" spans="1:9" s="10" customFormat="1" ht="20.100000000000001" customHeight="1">
      <c r="A25" s="130">
        <v>20</v>
      </c>
      <c r="B25" s="32"/>
      <c r="C25" s="15"/>
      <c r="D25" s="28"/>
      <c r="E25" s="24"/>
      <c r="F25" s="28"/>
      <c r="G25" s="28"/>
      <c r="H25" s="17"/>
      <c r="I25" s="132"/>
    </row>
    <row r="26" spans="1:9" s="10" customFormat="1" ht="20.100000000000001" customHeight="1">
      <c r="A26" s="130">
        <v>21</v>
      </c>
      <c r="B26" s="32"/>
      <c r="C26" s="15"/>
      <c r="D26" s="28"/>
      <c r="E26" s="24"/>
      <c r="F26" s="28"/>
      <c r="G26" s="28"/>
      <c r="H26" s="17"/>
      <c r="I26" s="132"/>
    </row>
    <row r="27" spans="1:9" s="10" customFormat="1" ht="20.100000000000001" customHeight="1">
      <c r="A27" s="130">
        <v>22</v>
      </c>
      <c r="B27" s="32"/>
      <c r="C27" s="15"/>
      <c r="D27" s="28"/>
      <c r="E27" s="24"/>
      <c r="F27" s="28"/>
      <c r="G27" s="28"/>
      <c r="H27" s="17"/>
      <c r="I27" s="132"/>
    </row>
    <row r="28" spans="1:9" s="10" customFormat="1" ht="20.100000000000001" customHeight="1">
      <c r="A28" s="130">
        <v>23</v>
      </c>
      <c r="B28" s="32"/>
      <c r="C28" s="15"/>
      <c r="D28" s="28"/>
      <c r="E28" s="24"/>
      <c r="F28" s="28"/>
      <c r="G28" s="28"/>
      <c r="H28" s="17"/>
      <c r="I28" s="132"/>
    </row>
    <row r="29" spans="1:9" s="10" customFormat="1" ht="20.100000000000001" customHeight="1">
      <c r="A29" s="130">
        <v>24</v>
      </c>
      <c r="B29" s="32"/>
      <c r="C29" s="15"/>
      <c r="D29" s="28"/>
      <c r="E29" s="24"/>
      <c r="F29" s="28"/>
      <c r="G29" s="28"/>
      <c r="H29" s="17"/>
      <c r="I29" s="132"/>
    </row>
    <row r="30" spans="1:9" s="10" customFormat="1" ht="20.100000000000001" customHeight="1">
      <c r="A30" s="130">
        <v>25</v>
      </c>
      <c r="B30" s="32"/>
      <c r="C30" s="15"/>
      <c r="D30" s="31"/>
      <c r="E30" s="24"/>
      <c r="F30" s="28"/>
      <c r="G30" s="28"/>
      <c r="H30" s="17"/>
      <c r="I30" s="132"/>
    </row>
    <row r="31" spans="1:9" s="10" customFormat="1" ht="20.100000000000001" customHeight="1">
      <c r="A31" s="130">
        <v>26</v>
      </c>
      <c r="B31" s="32"/>
      <c r="C31" s="15"/>
      <c r="D31" s="28"/>
      <c r="E31" s="24"/>
      <c r="F31" s="28"/>
      <c r="G31" s="28"/>
      <c r="H31" s="17"/>
      <c r="I31" s="132"/>
    </row>
    <row r="32" spans="1:9" s="10" customFormat="1" ht="20.100000000000001" customHeight="1">
      <c r="A32" s="130">
        <v>27</v>
      </c>
      <c r="B32" s="32"/>
      <c r="C32" s="15"/>
      <c r="D32" s="28"/>
      <c r="E32" s="24"/>
      <c r="F32" s="28"/>
      <c r="G32" s="28"/>
      <c r="H32" s="17"/>
      <c r="I32" s="132"/>
    </row>
    <row r="33" spans="1:9" s="10" customFormat="1" ht="20.100000000000001" customHeight="1">
      <c r="A33" s="130">
        <v>28</v>
      </c>
      <c r="B33" s="32"/>
      <c r="C33" s="15"/>
      <c r="D33" s="28"/>
      <c r="E33" s="24"/>
      <c r="F33" s="27"/>
      <c r="G33" s="28"/>
      <c r="H33" s="17"/>
      <c r="I33" s="132"/>
    </row>
    <row r="34" spans="1:9" s="10" customFormat="1" ht="20.100000000000001" customHeight="1">
      <c r="A34" s="130">
        <v>29</v>
      </c>
      <c r="B34" s="32"/>
      <c r="C34" s="15"/>
      <c r="D34" s="28"/>
      <c r="E34" s="24"/>
      <c r="F34" s="27"/>
      <c r="G34" s="28"/>
      <c r="H34" s="17"/>
      <c r="I34" s="132"/>
    </row>
    <row r="35" spans="1:9" s="10" customFormat="1" ht="20.100000000000001" customHeight="1">
      <c r="A35" s="130">
        <v>30</v>
      </c>
      <c r="B35" s="32"/>
      <c r="C35" s="15"/>
      <c r="D35" s="28"/>
      <c r="E35" s="24"/>
      <c r="F35" s="27"/>
      <c r="G35" s="28"/>
      <c r="H35" s="17"/>
      <c r="I35" s="132"/>
    </row>
    <row r="36" spans="1:9" s="10" customFormat="1" ht="20.100000000000001" customHeight="1">
      <c r="A36" s="130">
        <v>31</v>
      </c>
      <c r="B36" s="32"/>
      <c r="C36" s="15"/>
      <c r="D36" s="28"/>
      <c r="E36" s="24"/>
      <c r="F36" s="27"/>
      <c r="G36" s="28"/>
      <c r="H36" s="17"/>
      <c r="I36" s="132"/>
    </row>
    <row r="37" spans="1:9" s="10" customFormat="1" ht="20.100000000000001" customHeight="1">
      <c r="A37" s="130">
        <v>32</v>
      </c>
      <c r="B37" s="32"/>
      <c r="C37" s="15"/>
      <c r="D37" s="17"/>
      <c r="E37" s="17"/>
      <c r="F37" s="17"/>
      <c r="G37" s="28"/>
      <c r="H37" s="17"/>
      <c r="I37" s="132"/>
    </row>
    <row r="38" spans="1:9" s="10" customFormat="1" ht="20.100000000000001" customHeight="1">
      <c r="A38" s="130">
        <v>33</v>
      </c>
      <c r="B38" s="32"/>
      <c r="C38" s="15"/>
      <c r="D38" s="17"/>
      <c r="E38" s="17"/>
      <c r="F38" s="17"/>
      <c r="G38" s="28"/>
      <c r="H38" s="17"/>
      <c r="I38" s="132"/>
    </row>
    <row r="39" spans="1:9" s="10" customFormat="1" ht="20.100000000000001" customHeight="1">
      <c r="A39" s="130">
        <v>34</v>
      </c>
      <c r="B39" s="32"/>
      <c r="C39" s="15"/>
      <c r="D39" s="17"/>
      <c r="E39" s="17"/>
      <c r="F39" s="17"/>
      <c r="G39" s="28"/>
      <c r="H39" s="17"/>
      <c r="I39" s="132"/>
    </row>
    <row r="40" spans="1:9" s="10" customFormat="1" ht="20.100000000000001" customHeight="1">
      <c r="A40" s="130">
        <v>35</v>
      </c>
      <c r="B40" s="32"/>
      <c r="C40" s="15"/>
      <c r="D40" s="17"/>
      <c r="E40" s="17"/>
      <c r="F40" s="17"/>
      <c r="G40" s="28"/>
      <c r="H40" s="17"/>
      <c r="I40" s="132"/>
    </row>
    <row r="41" spans="1:9" s="10" customFormat="1" ht="20.100000000000001" customHeight="1">
      <c r="A41" s="130">
        <v>36</v>
      </c>
      <c r="B41" s="32"/>
      <c r="C41" s="15"/>
      <c r="D41" s="17"/>
      <c r="E41" s="17"/>
      <c r="F41" s="17"/>
      <c r="G41" s="28"/>
      <c r="H41" s="17"/>
      <c r="I41" s="132"/>
    </row>
    <row r="42" spans="1:9" s="10" customFormat="1" ht="20.100000000000001" customHeight="1">
      <c r="A42" s="130">
        <v>37</v>
      </c>
      <c r="B42" s="32"/>
      <c r="C42" s="15"/>
      <c r="D42" s="17"/>
      <c r="E42" s="17"/>
      <c r="F42" s="36"/>
      <c r="G42" s="28"/>
      <c r="H42" s="17"/>
      <c r="I42" s="132"/>
    </row>
    <row r="43" spans="1:9" s="10" customFormat="1" ht="20.100000000000001" customHeight="1">
      <c r="A43" s="130">
        <v>38</v>
      </c>
      <c r="B43" s="45"/>
      <c r="C43" s="81"/>
      <c r="D43" s="38"/>
      <c r="E43" s="39"/>
      <c r="F43" s="39"/>
      <c r="G43" s="28"/>
      <c r="H43" s="17"/>
      <c r="I43" s="132"/>
    </row>
    <row r="44" spans="1:9" s="10" customFormat="1" ht="20.100000000000001" customHeight="1">
      <c r="A44" s="130">
        <v>39</v>
      </c>
      <c r="B44" s="45"/>
      <c r="C44" s="81"/>
      <c r="D44" s="38"/>
      <c r="E44" s="39"/>
      <c r="F44" s="39"/>
      <c r="G44" s="28"/>
      <c r="H44" s="17"/>
      <c r="I44" s="132"/>
    </row>
    <row r="45" spans="1:9" s="10" customFormat="1" ht="20.100000000000001" customHeight="1">
      <c r="A45" s="130">
        <v>40</v>
      </c>
      <c r="B45" s="45"/>
      <c r="C45" s="81"/>
      <c r="D45" s="38"/>
      <c r="E45" s="39"/>
      <c r="F45" s="39"/>
      <c r="G45" s="28"/>
      <c r="H45" s="17"/>
      <c r="I45" s="132"/>
    </row>
    <row r="46" spans="1:9" s="10" customFormat="1" ht="20.100000000000001" customHeight="1">
      <c r="A46" s="130">
        <v>41</v>
      </c>
      <c r="B46" s="45"/>
      <c r="C46" s="81"/>
      <c r="D46" s="38"/>
      <c r="E46" s="39"/>
      <c r="F46" s="39"/>
      <c r="G46" s="40"/>
      <c r="H46" s="17"/>
      <c r="I46" s="132"/>
    </row>
    <row r="47" spans="1:9" s="10" customFormat="1" ht="20.100000000000001" customHeight="1">
      <c r="A47" s="130">
        <v>42</v>
      </c>
      <c r="B47" s="45"/>
      <c r="C47" s="81"/>
      <c r="D47" s="38"/>
      <c r="E47" s="39"/>
      <c r="F47" s="39"/>
      <c r="G47" s="40"/>
      <c r="H47" s="17"/>
      <c r="I47" s="132"/>
    </row>
    <row r="48" spans="1:9" s="10" customFormat="1" ht="20.100000000000001" customHeight="1">
      <c r="A48" s="130">
        <v>43</v>
      </c>
      <c r="B48" s="45"/>
      <c r="C48" s="81"/>
      <c r="D48" s="38"/>
      <c r="E48" s="39"/>
      <c r="F48" s="39"/>
      <c r="G48" s="40"/>
      <c r="H48" s="17"/>
      <c r="I48" s="132"/>
    </row>
    <row r="49" spans="1:9" s="10" customFormat="1" ht="20.100000000000001" customHeight="1">
      <c r="A49" s="130">
        <v>44</v>
      </c>
      <c r="B49" s="45"/>
      <c r="C49" s="81"/>
      <c r="D49" s="38"/>
      <c r="E49" s="39"/>
      <c r="F49" s="39"/>
      <c r="G49" s="40"/>
      <c r="H49" s="17"/>
      <c r="I49" s="132"/>
    </row>
    <row r="50" spans="1:9" s="10" customFormat="1" ht="20.100000000000001" customHeight="1">
      <c r="A50" s="130">
        <v>45</v>
      </c>
      <c r="B50" s="45"/>
      <c r="C50" s="81"/>
      <c r="D50" s="38"/>
      <c r="E50" s="39"/>
      <c r="F50" s="39"/>
      <c r="G50" s="40"/>
      <c r="H50" s="17"/>
      <c r="I50" s="132"/>
    </row>
    <row r="51" spans="1:9" s="10" customFormat="1" ht="20.100000000000001" customHeight="1">
      <c r="A51" s="130">
        <v>46</v>
      </c>
      <c r="B51" s="45"/>
      <c r="C51" s="81"/>
      <c r="D51" s="38"/>
      <c r="E51" s="39"/>
      <c r="F51" s="39"/>
      <c r="G51" s="40"/>
      <c r="H51" s="17"/>
      <c r="I51" s="132"/>
    </row>
    <row r="52" spans="1:9" s="10" customFormat="1" ht="20.100000000000001" customHeight="1">
      <c r="A52" s="130">
        <v>47</v>
      </c>
      <c r="B52" s="45"/>
      <c r="C52" s="81"/>
      <c r="D52" s="38"/>
      <c r="E52" s="39"/>
      <c r="F52" s="39"/>
      <c r="G52" s="40"/>
      <c r="H52" s="17"/>
      <c r="I52" s="132"/>
    </row>
    <row r="53" spans="1:9" s="10" customFormat="1" ht="20.100000000000001" customHeight="1">
      <c r="A53" s="130">
        <v>48</v>
      </c>
      <c r="B53" s="45"/>
      <c r="C53" s="81"/>
      <c r="D53" s="38"/>
      <c r="E53" s="39"/>
      <c r="F53" s="39"/>
      <c r="G53" s="40"/>
      <c r="H53" s="17"/>
      <c r="I53" s="132"/>
    </row>
    <row r="54" spans="1:9" s="10" customFormat="1" ht="20.100000000000001" customHeight="1">
      <c r="A54" s="130">
        <v>49</v>
      </c>
      <c r="B54" s="45"/>
      <c r="C54" s="81"/>
      <c r="D54" s="38"/>
      <c r="E54" s="39"/>
      <c r="F54" s="39"/>
      <c r="G54" s="40"/>
      <c r="H54" s="17"/>
      <c r="I54" s="132"/>
    </row>
    <row r="55" spans="1:9" s="10" customFormat="1" ht="20.100000000000001" customHeight="1">
      <c r="A55" s="130">
        <v>50</v>
      </c>
      <c r="B55" s="45"/>
      <c r="C55" s="81"/>
      <c r="D55" s="38"/>
      <c r="E55" s="39"/>
      <c r="F55" s="39"/>
      <c r="G55" s="40"/>
      <c r="H55" s="17"/>
      <c r="I55" s="132"/>
    </row>
    <row r="56" spans="1:9" s="10" customFormat="1" ht="20.100000000000001" customHeight="1">
      <c r="A56" s="130">
        <v>51</v>
      </c>
      <c r="B56" s="45"/>
      <c r="C56" s="81"/>
      <c r="D56" s="38"/>
      <c r="E56" s="39"/>
      <c r="F56" s="39"/>
      <c r="G56" s="40"/>
      <c r="H56" s="17"/>
      <c r="I56" s="132"/>
    </row>
    <row r="57" spans="1:9" s="10" customFormat="1" ht="20.100000000000001" customHeight="1">
      <c r="A57" s="130">
        <v>52</v>
      </c>
      <c r="B57" s="45"/>
      <c r="C57" s="81"/>
      <c r="D57" s="38"/>
      <c r="E57" s="39"/>
      <c r="F57" s="39"/>
      <c r="G57" s="40"/>
      <c r="H57" s="17"/>
      <c r="I57" s="132"/>
    </row>
    <row r="58" spans="1:9" s="10" customFormat="1" ht="20.100000000000001" customHeight="1">
      <c r="A58" s="130">
        <v>53</v>
      </c>
      <c r="B58" s="45"/>
      <c r="C58" s="81"/>
      <c r="D58" s="38"/>
      <c r="E58" s="39"/>
      <c r="F58" s="39"/>
      <c r="G58" s="40"/>
      <c r="H58" s="17"/>
      <c r="I58" s="132"/>
    </row>
    <row r="59" spans="1:9" s="10" customFormat="1" ht="20.100000000000001" customHeight="1">
      <c r="A59" s="130">
        <v>54</v>
      </c>
      <c r="B59" s="45"/>
      <c r="C59" s="81"/>
      <c r="D59" s="38"/>
      <c r="E59" s="39"/>
      <c r="F59" s="39"/>
      <c r="G59" s="40"/>
      <c r="H59" s="17"/>
      <c r="I59" s="132"/>
    </row>
    <row r="60" spans="1:9" s="10" customFormat="1" ht="20.100000000000001" customHeight="1">
      <c r="A60" s="130">
        <v>55</v>
      </c>
      <c r="B60" s="45"/>
      <c r="C60" s="81"/>
      <c r="D60" s="38"/>
      <c r="E60" s="39"/>
      <c r="F60" s="39"/>
      <c r="G60" s="40"/>
      <c r="H60" s="17"/>
      <c r="I60" s="132"/>
    </row>
    <row r="61" spans="1:9" s="10" customFormat="1" ht="20.100000000000001" customHeight="1">
      <c r="A61" s="130">
        <v>56</v>
      </c>
      <c r="B61" s="32"/>
      <c r="C61" s="15"/>
      <c r="D61" s="17"/>
      <c r="E61" s="17"/>
      <c r="F61" s="17"/>
      <c r="G61" s="40"/>
      <c r="H61" s="17"/>
      <c r="I61" s="132"/>
    </row>
    <row r="62" spans="1:9" s="10" customFormat="1" ht="20.100000000000001" customHeight="1">
      <c r="A62" s="130">
        <v>57</v>
      </c>
      <c r="B62" s="32"/>
      <c r="C62" s="15"/>
      <c r="D62" s="17"/>
      <c r="E62" s="17"/>
      <c r="F62" s="17"/>
      <c r="G62" s="40"/>
      <c r="H62" s="17"/>
      <c r="I62" s="132"/>
    </row>
    <row r="63" spans="1:9" s="10" customFormat="1" ht="20.100000000000001" customHeight="1">
      <c r="A63" s="130">
        <v>58</v>
      </c>
      <c r="B63" s="32"/>
      <c r="C63" s="15"/>
      <c r="D63" s="17"/>
      <c r="E63" s="17"/>
      <c r="F63" s="17"/>
      <c r="G63" s="40"/>
      <c r="H63" s="17"/>
      <c r="I63" s="132"/>
    </row>
    <row r="64" spans="1:9" s="10" customFormat="1" ht="20.100000000000001" customHeight="1">
      <c r="A64" s="130">
        <v>59</v>
      </c>
      <c r="B64" s="45"/>
      <c r="C64" s="81"/>
      <c r="D64" s="38"/>
      <c r="E64" s="39"/>
      <c r="F64" s="39"/>
      <c r="G64" s="40"/>
      <c r="H64" s="17"/>
      <c r="I64" s="132"/>
    </row>
    <row r="65" spans="1:9" s="10" customFormat="1" ht="20.100000000000001" customHeight="1">
      <c r="A65" s="130">
        <v>60</v>
      </c>
      <c r="B65" s="45"/>
      <c r="C65" s="81"/>
      <c r="D65" s="38"/>
      <c r="E65" s="39"/>
      <c r="F65" s="39"/>
      <c r="G65" s="40"/>
      <c r="H65" s="17"/>
      <c r="I65" s="132"/>
    </row>
    <row r="66" spans="1:9" s="10" customFormat="1" ht="20.100000000000001" customHeight="1">
      <c r="A66" s="130">
        <v>61</v>
      </c>
      <c r="B66" s="45"/>
      <c r="C66" s="81"/>
      <c r="D66" s="38"/>
      <c r="E66" s="39"/>
      <c r="F66" s="39"/>
      <c r="G66" s="40"/>
      <c r="H66" s="17"/>
      <c r="I66" s="132"/>
    </row>
    <row r="67" spans="1:9" s="10" customFormat="1" ht="20.100000000000001" customHeight="1">
      <c r="A67" s="130">
        <v>62</v>
      </c>
      <c r="B67" s="45"/>
      <c r="C67" s="81"/>
      <c r="D67" s="38"/>
      <c r="E67" s="39"/>
      <c r="F67" s="39"/>
      <c r="G67" s="40"/>
      <c r="H67" s="17"/>
      <c r="I67" s="132"/>
    </row>
    <row r="68" spans="1:9" s="10" customFormat="1" ht="20.100000000000001" customHeight="1">
      <c r="A68" s="130">
        <v>63</v>
      </c>
      <c r="B68" s="45"/>
      <c r="C68" s="81"/>
      <c r="D68" s="38"/>
      <c r="E68" s="39"/>
      <c r="F68" s="39"/>
      <c r="G68" s="40"/>
      <c r="H68" s="17"/>
      <c r="I68" s="132"/>
    </row>
    <row r="69" spans="1:9" s="10" customFormat="1" ht="15" customHeight="1">
      <c r="A69" s="130">
        <v>64</v>
      </c>
      <c r="B69" s="45"/>
      <c r="C69" s="81"/>
      <c r="D69" s="38"/>
      <c r="E69" s="39"/>
      <c r="F69" s="39"/>
      <c r="G69" s="40"/>
      <c r="H69" s="17"/>
      <c r="I69" s="132"/>
    </row>
    <row r="70" spans="1:9" s="10" customFormat="1" ht="15" customHeight="1">
      <c r="A70" s="130">
        <v>65</v>
      </c>
      <c r="B70" s="45"/>
      <c r="C70" s="81"/>
      <c r="D70" s="38"/>
      <c r="E70" s="39"/>
      <c r="F70" s="39"/>
      <c r="G70" s="40"/>
      <c r="H70" s="17"/>
      <c r="I70" s="132"/>
    </row>
    <row r="71" spans="1:9" s="10" customFormat="1" ht="15" customHeight="1">
      <c r="A71" s="130">
        <v>66</v>
      </c>
      <c r="B71" s="45"/>
      <c r="C71" s="81"/>
      <c r="D71" s="38"/>
      <c r="E71" s="39"/>
      <c r="F71" s="39"/>
      <c r="G71" s="40"/>
      <c r="H71" s="17"/>
      <c r="I71" s="132"/>
    </row>
    <row r="72" spans="1:9" s="10" customFormat="1" ht="15" customHeight="1">
      <c r="A72" s="130">
        <v>67</v>
      </c>
      <c r="B72" s="45"/>
      <c r="C72" s="81"/>
      <c r="D72" s="38"/>
      <c r="E72" s="39"/>
      <c r="F72" s="39"/>
      <c r="G72" s="40"/>
      <c r="H72" s="17"/>
      <c r="I72" s="132"/>
    </row>
    <row r="73" spans="1:9" s="10" customFormat="1" ht="15" customHeight="1">
      <c r="A73" s="130">
        <v>68</v>
      </c>
      <c r="B73" s="45"/>
      <c r="C73" s="81"/>
      <c r="D73" s="38"/>
      <c r="E73" s="39"/>
      <c r="F73" s="39"/>
      <c r="G73" s="40"/>
      <c r="H73" s="17"/>
      <c r="I73" s="132"/>
    </row>
    <row r="74" spans="1:9" s="10" customFormat="1" ht="15" customHeight="1">
      <c r="A74" s="130">
        <v>69</v>
      </c>
      <c r="B74" s="45"/>
      <c r="C74" s="81"/>
      <c r="D74" s="38"/>
      <c r="E74" s="39"/>
      <c r="F74" s="39"/>
      <c r="G74" s="40"/>
      <c r="H74" s="17"/>
      <c r="I74" s="132"/>
    </row>
    <row r="75" spans="1:9" s="10" customFormat="1" ht="15" customHeight="1">
      <c r="A75" s="130">
        <v>70</v>
      </c>
      <c r="B75" s="45"/>
      <c r="C75" s="81"/>
      <c r="D75" s="38"/>
      <c r="E75" s="39"/>
      <c r="F75" s="39"/>
      <c r="G75" s="40"/>
      <c r="H75" s="17"/>
      <c r="I75" s="132"/>
    </row>
    <row r="76" spans="1:9" s="10" customFormat="1" ht="15" customHeight="1">
      <c r="A76" s="130">
        <v>71</v>
      </c>
      <c r="B76" s="45"/>
      <c r="C76" s="81"/>
      <c r="D76" s="38"/>
      <c r="E76" s="39"/>
      <c r="F76" s="39"/>
      <c r="G76" s="40"/>
      <c r="H76" s="17"/>
      <c r="I76" s="132"/>
    </row>
    <row r="77" spans="1:9" s="10" customFormat="1" ht="15" customHeight="1">
      <c r="A77" s="130">
        <v>72</v>
      </c>
      <c r="B77" s="45"/>
      <c r="C77" s="81"/>
      <c r="D77" s="38"/>
      <c r="E77" s="39"/>
      <c r="F77" s="39"/>
      <c r="G77" s="40"/>
      <c r="H77" s="17"/>
      <c r="I77" s="132"/>
    </row>
    <row r="78" spans="1:9" s="10" customFormat="1" ht="15" customHeight="1">
      <c r="A78" s="130">
        <v>73</v>
      </c>
      <c r="B78" s="45"/>
      <c r="C78" s="81"/>
      <c r="D78" s="38"/>
      <c r="E78" s="39"/>
      <c r="F78" s="39"/>
      <c r="G78" s="40"/>
      <c r="H78" s="17"/>
      <c r="I78" s="132"/>
    </row>
    <row r="79" spans="1:9" s="10" customFormat="1" ht="15" customHeight="1">
      <c r="A79" s="130">
        <v>74</v>
      </c>
      <c r="B79" s="45"/>
      <c r="C79" s="81"/>
      <c r="D79" s="38"/>
      <c r="E79" s="39"/>
      <c r="F79" s="39"/>
      <c r="G79" s="40"/>
      <c r="H79" s="17"/>
      <c r="I79" s="132"/>
    </row>
    <row r="80" spans="1:9" s="10" customFormat="1" ht="15" customHeight="1">
      <c r="A80" s="130">
        <v>75</v>
      </c>
      <c r="B80" s="45"/>
      <c r="C80" s="81"/>
      <c r="D80" s="38"/>
      <c r="E80" s="39"/>
      <c r="F80" s="39"/>
      <c r="G80" s="40"/>
      <c r="H80" s="17"/>
      <c r="I80" s="132"/>
    </row>
    <row r="81" spans="1:9" s="10" customFormat="1" ht="15" customHeight="1">
      <c r="A81" s="130">
        <v>76</v>
      </c>
      <c r="B81" s="45"/>
      <c r="C81" s="81"/>
      <c r="D81" s="38"/>
      <c r="E81" s="39"/>
      <c r="F81" s="39"/>
      <c r="G81" s="40"/>
      <c r="H81" s="17"/>
      <c r="I81" s="132"/>
    </row>
    <row r="82" spans="1:9" s="10" customFormat="1" ht="15" customHeight="1">
      <c r="A82" s="130">
        <v>77</v>
      </c>
      <c r="B82" s="45"/>
      <c r="C82" s="81"/>
      <c r="D82" s="38"/>
      <c r="E82" s="39"/>
      <c r="F82" s="39"/>
      <c r="G82" s="40"/>
      <c r="H82" s="17"/>
      <c r="I82" s="132"/>
    </row>
    <row r="83" spans="1:9" s="10" customFormat="1" ht="15" customHeight="1">
      <c r="A83" s="130">
        <v>78</v>
      </c>
      <c r="B83" s="45"/>
      <c r="C83" s="81"/>
      <c r="D83" s="38"/>
      <c r="E83" s="39"/>
      <c r="F83" s="39"/>
      <c r="G83" s="40"/>
      <c r="H83" s="17"/>
      <c r="I83" s="132"/>
    </row>
    <row r="84" spans="1:9" s="10" customFormat="1" ht="15" customHeight="1">
      <c r="A84" s="130">
        <v>79</v>
      </c>
      <c r="B84" s="45"/>
      <c r="C84" s="81"/>
      <c r="D84" s="38"/>
      <c r="E84" s="39"/>
      <c r="F84" s="39"/>
      <c r="G84" s="40"/>
      <c r="H84" s="17"/>
      <c r="I84" s="132"/>
    </row>
    <row r="85" spans="1:9" s="10" customFormat="1" ht="15" customHeight="1">
      <c r="A85" s="130">
        <v>80</v>
      </c>
      <c r="B85" s="45"/>
      <c r="C85" s="81"/>
      <c r="D85" s="39"/>
      <c r="E85" s="39"/>
      <c r="F85" s="39"/>
      <c r="G85" s="40"/>
      <c r="H85" s="17"/>
      <c r="I85" s="132"/>
    </row>
    <row r="86" spans="1:9" s="10" customFormat="1" ht="15" customHeight="1">
      <c r="A86" s="130">
        <v>81</v>
      </c>
      <c r="B86" s="45"/>
      <c r="C86" s="81"/>
      <c r="D86" s="39"/>
      <c r="E86" s="39"/>
      <c r="F86" s="39"/>
      <c r="G86" s="40"/>
      <c r="H86" s="17"/>
      <c r="I86" s="132"/>
    </row>
    <row r="87" spans="1:9" s="10" customFormat="1" ht="15" customHeight="1">
      <c r="A87" s="130">
        <v>82</v>
      </c>
      <c r="B87" s="45"/>
      <c r="C87" s="81"/>
      <c r="D87" s="39"/>
      <c r="E87" s="39"/>
      <c r="F87" s="39"/>
      <c r="G87" s="40"/>
      <c r="H87" s="17"/>
      <c r="I87" s="132"/>
    </row>
    <row r="88" spans="1:9" s="10" customFormat="1" ht="15" customHeight="1">
      <c r="A88" s="130">
        <v>83</v>
      </c>
      <c r="B88" s="45"/>
      <c r="C88" s="81"/>
      <c r="D88" s="39"/>
      <c r="E88" s="39"/>
      <c r="F88" s="39"/>
      <c r="G88" s="40"/>
      <c r="H88" s="17"/>
      <c r="I88" s="132"/>
    </row>
    <row r="89" spans="1:9" s="10" customFormat="1" ht="15" customHeight="1">
      <c r="A89" s="130">
        <v>84</v>
      </c>
      <c r="B89" s="45"/>
      <c r="C89" s="81"/>
      <c r="D89" s="39"/>
      <c r="E89" s="39"/>
      <c r="F89" s="39"/>
      <c r="G89" s="40"/>
      <c r="H89" s="17"/>
      <c r="I89" s="132"/>
    </row>
    <row r="90" spans="1:9" s="10" customFormat="1" ht="15" customHeight="1">
      <c r="A90" s="130">
        <v>85</v>
      </c>
      <c r="B90" s="45"/>
      <c r="C90" s="81"/>
      <c r="D90" s="39"/>
      <c r="E90" s="39"/>
      <c r="F90" s="39"/>
      <c r="G90" s="40"/>
      <c r="H90" s="17"/>
      <c r="I90" s="132"/>
    </row>
    <row r="91" spans="1:9" s="10" customFormat="1" ht="15" customHeight="1">
      <c r="A91" s="130">
        <v>86</v>
      </c>
      <c r="B91" s="45"/>
      <c r="C91" s="81"/>
      <c r="D91" s="39"/>
      <c r="E91" s="39"/>
      <c r="F91" s="39"/>
      <c r="G91" s="40"/>
      <c r="H91" s="17"/>
      <c r="I91" s="132"/>
    </row>
    <row r="92" spans="1:9" s="10" customFormat="1" ht="15" customHeight="1">
      <c r="A92" s="130">
        <v>87</v>
      </c>
      <c r="B92" s="45"/>
      <c r="C92" s="81"/>
      <c r="D92" s="39"/>
      <c r="E92" s="39"/>
      <c r="F92" s="39"/>
      <c r="G92" s="40"/>
      <c r="H92" s="17"/>
      <c r="I92" s="132"/>
    </row>
    <row r="93" spans="1:9" s="10" customFormat="1" ht="15" customHeight="1">
      <c r="A93" s="130">
        <v>88</v>
      </c>
      <c r="B93" s="45"/>
      <c r="C93" s="81"/>
      <c r="D93" s="39"/>
      <c r="E93" s="39"/>
      <c r="F93" s="39"/>
      <c r="G93" s="40"/>
      <c r="H93" s="17"/>
      <c r="I93" s="132"/>
    </row>
    <row r="94" spans="1:9" s="10" customFormat="1" ht="15" customHeight="1">
      <c r="A94" s="130">
        <v>89</v>
      </c>
      <c r="B94" s="45"/>
      <c r="C94" s="81"/>
      <c r="D94" s="39"/>
      <c r="E94" s="39"/>
      <c r="F94" s="39"/>
      <c r="G94" s="40"/>
      <c r="H94" s="17"/>
      <c r="I94" s="132"/>
    </row>
    <row r="95" spans="1:9" s="10" customFormat="1" ht="15" customHeight="1">
      <c r="A95" s="130">
        <v>90</v>
      </c>
      <c r="B95" s="45"/>
      <c r="C95" s="81"/>
      <c r="D95" s="39"/>
      <c r="E95" s="39"/>
      <c r="F95" s="39"/>
      <c r="G95" s="40"/>
      <c r="H95" s="17"/>
      <c r="I95" s="132"/>
    </row>
    <row r="96" spans="1:9" s="10" customFormat="1" ht="15" customHeight="1">
      <c r="A96" s="130">
        <v>91</v>
      </c>
      <c r="B96" s="45"/>
      <c r="C96" s="81"/>
      <c r="D96" s="39"/>
      <c r="E96" s="39"/>
      <c r="F96" s="39"/>
      <c r="G96" s="40"/>
      <c r="H96" s="17"/>
      <c r="I96" s="132"/>
    </row>
    <row r="97" spans="1:9" s="10" customFormat="1" ht="15" customHeight="1">
      <c r="A97" s="130">
        <v>92</v>
      </c>
      <c r="B97" s="45"/>
      <c r="C97" s="81"/>
      <c r="D97" s="39"/>
      <c r="E97" s="39"/>
      <c r="F97" s="39"/>
      <c r="G97" s="40"/>
      <c r="H97" s="17"/>
      <c r="I97" s="132"/>
    </row>
    <row r="98" spans="1:9" s="10" customFormat="1" ht="15" customHeight="1">
      <c r="A98" s="130">
        <v>93</v>
      </c>
      <c r="B98" s="45"/>
      <c r="C98" s="81"/>
      <c r="D98" s="39"/>
      <c r="E98" s="39"/>
      <c r="F98" s="39"/>
      <c r="G98" s="40"/>
      <c r="H98" s="17"/>
      <c r="I98" s="132"/>
    </row>
    <row r="99" spans="1:9" s="10" customFormat="1" ht="15" customHeight="1">
      <c r="A99" s="130">
        <v>94</v>
      </c>
      <c r="B99" s="45"/>
      <c r="C99" s="81"/>
      <c r="D99" s="39"/>
      <c r="E99" s="39"/>
      <c r="F99" s="39"/>
      <c r="G99" s="40"/>
      <c r="H99" s="17"/>
      <c r="I99" s="132"/>
    </row>
    <row r="100" spans="1:9" s="10" customFormat="1" ht="15" customHeight="1">
      <c r="A100" s="130">
        <v>95</v>
      </c>
      <c r="B100" s="45"/>
      <c r="C100" s="81"/>
      <c r="D100" s="39"/>
      <c r="E100" s="39"/>
      <c r="F100" s="39"/>
      <c r="G100" s="40"/>
      <c r="H100" s="17"/>
      <c r="I100" s="132"/>
    </row>
    <row r="101" spans="1:9" s="10" customFormat="1" ht="15" customHeight="1">
      <c r="A101" s="130">
        <v>96</v>
      </c>
      <c r="B101" s="32"/>
      <c r="C101" s="46"/>
      <c r="D101" s="17"/>
      <c r="E101" s="17"/>
      <c r="F101" s="17"/>
      <c r="G101" s="28"/>
      <c r="H101" s="17"/>
      <c r="I101" s="132"/>
    </row>
    <row r="102" spans="1:9" s="10" customFormat="1" ht="15" customHeight="1">
      <c r="A102" s="130">
        <v>97</v>
      </c>
      <c r="B102" s="32"/>
      <c r="C102" s="15"/>
      <c r="D102" s="17"/>
      <c r="E102" s="17"/>
      <c r="F102" s="17"/>
      <c r="G102" s="28"/>
      <c r="H102" s="17"/>
      <c r="I102" s="132"/>
    </row>
    <row r="103" spans="1:9" s="10" customFormat="1" ht="15" customHeight="1">
      <c r="A103" s="130">
        <v>98</v>
      </c>
      <c r="B103" s="32"/>
      <c r="C103" s="15"/>
      <c r="D103" s="17"/>
      <c r="E103" s="17"/>
      <c r="F103" s="17"/>
      <c r="G103" s="28"/>
      <c r="H103" s="17"/>
      <c r="I103" s="132"/>
    </row>
    <row r="104" spans="1:9" s="10" customFormat="1" ht="15" customHeight="1">
      <c r="A104" s="130">
        <v>99</v>
      </c>
      <c r="B104" s="32"/>
      <c r="C104" s="15"/>
      <c r="D104" s="17"/>
      <c r="E104" s="17"/>
      <c r="F104" s="17"/>
      <c r="G104" s="28"/>
      <c r="H104" s="17"/>
      <c r="I104" s="132"/>
    </row>
    <row r="105" spans="1:9" s="10" customFormat="1" ht="15" customHeight="1">
      <c r="A105" s="133">
        <v>100</v>
      </c>
      <c r="B105" s="134"/>
      <c r="C105" s="138"/>
      <c r="D105" s="135"/>
      <c r="E105" s="135"/>
      <c r="F105" s="135"/>
      <c r="G105" s="136"/>
      <c r="H105" s="135"/>
      <c r="I105" s="137"/>
    </row>
    <row r="106" spans="1:9" ht="20.25">
      <c r="B106" s="41"/>
      <c r="C106" s="42"/>
      <c r="D106" s="42"/>
      <c r="E106" s="42"/>
      <c r="F106" s="42"/>
      <c r="G106" s="42"/>
      <c r="H106" s="42"/>
      <c r="I106" s="42"/>
    </row>
  </sheetData>
  <autoFilter ref="B5:G105" xr:uid="{CE6C056B-1174-47E5-B58F-BD1F5280A530}"/>
  <mergeCells count="5">
    <mergeCell ref="A1:A5"/>
    <mergeCell ref="B1:I2"/>
    <mergeCell ref="H3:I3"/>
    <mergeCell ref="B3:B4"/>
    <mergeCell ref="C3:C4"/>
  </mergeCells>
  <dataValidations count="1">
    <dataValidation allowBlank="1" showErrorMessage="1" sqref="C5:D5" xr:uid="{5597FF1B-7B56-4C5C-89D6-441F37B46ADD}"/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DF02EDBC-0E22-4A8C-A39D-9859B3112CA8}">
          <x14:formula1>
            <xm:f>DATA!$D$2:$D$17</xm:f>
          </x14:formula1>
          <xm:sqref>C6:C105</xm:sqref>
        </x14:dataValidation>
        <x14:dataValidation type="list" allowBlank="1" showInputMessage="1" showErrorMessage="1" xr:uid="{6992B28C-7A22-4DED-8120-2621C6FDACF8}">
          <x14:formula1>
            <xm:f>DATA!$C$2:$C$6</xm:f>
          </x14:formula1>
          <xm:sqref>G6:G105 F23</xm:sqref>
        </x14:dataValidation>
        <x14:dataValidation type="list" allowBlank="1" showInputMessage="1" showErrorMessage="1" xr:uid="{FCE156A2-F67A-4763-9052-92A8705AB898}">
          <x14:formula1>
            <xm:f>DATA!$B$4:$B$10</xm:f>
          </x14:formula1>
          <xm:sqref>H4</xm:sqref>
        </x14:dataValidation>
        <x14:dataValidation type="list" allowBlank="1" showInputMessage="1" showErrorMessage="1" xr:uid="{9B22D33D-7703-4A46-B6FB-A531B62F0581}">
          <x14:formula1>
            <xm:f>DATA!$B$2:$B$20</xm:f>
          </x14:formula1>
          <xm:sqref>I6:I7 D6:D105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4611F-FD39-4613-8588-A380B6C6294F}">
  <sheetPr codeName="Planilha12"/>
  <dimension ref="A1:L106"/>
  <sheetViews>
    <sheetView zoomScale="90" zoomScaleNormal="90" workbookViewId="0">
      <selection activeCell="B3" sqref="B3:B4"/>
    </sheetView>
  </sheetViews>
  <sheetFormatPr defaultRowHeight="15"/>
  <cols>
    <col min="1" max="1" width="4.42578125" style="49" customWidth="1"/>
    <col min="2" max="2" width="40.7109375" style="43" customWidth="1"/>
    <col min="3" max="3" width="55.7109375" style="44" customWidth="1"/>
    <col min="4" max="4" width="30.7109375" style="44" customWidth="1"/>
    <col min="5" max="5" width="20.7109375" style="44" customWidth="1"/>
    <col min="6" max="6" width="30.7109375" style="44" customWidth="1"/>
    <col min="7" max="7" width="20.7109375" style="44" customWidth="1"/>
    <col min="8" max="8" width="34.7109375" style="44" customWidth="1"/>
    <col min="9" max="9" width="19.7109375" style="44" customWidth="1"/>
    <col min="10" max="10" width="10.5703125" style="10" bestFit="1" customWidth="1"/>
    <col min="11" max="12" width="9.140625" style="10"/>
    <col min="13" max="16384" width="9.140625" style="8"/>
  </cols>
  <sheetData>
    <row r="1" spans="1:10" ht="15" customHeight="1">
      <c r="A1" s="128" t="s">
        <v>58</v>
      </c>
      <c r="B1" s="123" t="s">
        <v>82</v>
      </c>
      <c r="C1" s="101"/>
      <c r="D1" s="101"/>
      <c r="E1" s="101"/>
      <c r="F1" s="101"/>
      <c r="G1" s="101"/>
      <c r="H1" s="101"/>
      <c r="I1" s="102"/>
      <c r="J1" s="9"/>
    </row>
    <row r="2" spans="1:10" ht="33.75" customHeight="1">
      <c r="A2" s="129"/>
      <c r="B2" s="93"/>
      <c r="C2" s="94"/>
      <c r="D2" s="94"/>
      <c r="E2" s="94"/>
      <c r="F2" s="94"/>
      <c r="G2" s="94"/>
      <c r="H2" s="94"/>
      <c r="I2" s="104"/>
      <c r="J2" s="9"/>
    </row>
    <row r="3" spans="1:10" ht="42.75" customHeight="1">
      <c r="A3" s="129"/>
      <c r="B3" s="96" t="s">
        <v>25</v>
      </c>
      <c r="C3" s="98">
        <f>E3-E4-(SUMIFS(E6:E105,G6:G105,"Reserva") + SUMIFS(E6:E105,G6:G105,"Investimento"))</f>
        <v>0</v>
      </c>
      <c r="D3" s="35" t="s">
        <v>36</v>
      </c>
      <c r="E3" s="65">
        <f>SUMIF(($G$6:$G$105),"Receita",($E$6:$E$105))</f>
        <v>0</v>
      </c>
      <c r="F3" s="67" t="s">
        <v>38</v>
      </c>
      <c r="G3" s="34">
        <f>SUMIF(($G$6:$G$105),"Custo",($E$6:$E$105))</f>
        <v>0</v>
      </c>
      <c r="H3" s="95" t="s">
        <v>56</v>
      </c>
      <c r="I3" s="106"/>
    </row>
    <row r="4" spans="1:10" ht="31.5" customHeight="1">
      <c r="A4" s="129"/>
      <c r="B4" s="97"/>
      <c r="C4" s="99"/>
      <c r="D4" s="35" t="s">
        <v>37</v>
      </c>
      <c r="E4" s="65">
        <f>G3+G4</f>
        <v>0</v>
      </c>
      <c r="F4" s="67" t="s">
        <v>39</v>
      </c>
      <c r="G4" s="34">
        <f>SUMIF(($G$6:$G$105),"Gasto",($E$6:$E$105))</f>
        <v>0</v>
      </c>
      <c r="H4" s="66" t="s">
        <v>0</v>
      </c>
      <c r="I4" s="108">
        <f>SUMIF(D6:D105,H4,E6:E105)</f>
        <v>0</v>
      </c>
    </row>
    <row r="5" spans="1:10" ht="23.25" customHeight="1">
      <c r="A5" s="129"/>
      <c r="B5" s="18" t="s">
        <v>20</v>
      </c>
      <c r="C5" s="13" t="s">
        <v>15</v>
      </c>
      <c r="D5" s="13" t="s">
        <v>16</v>
      </c>
      <c r="E5" s="13" t="s">
        <v>17</v>
      </c>
      <c r="F5" s="13" t="s">
        <v>18</v>
      </c>
      <c r="G5" s="13" t="s">
        <v>19</v>
      </c>
      <c r="H5" s="14"/>
      <c r="I5" s="110"/>
    </row>
    <row r="6" spans="1:10" s="10" customFormat="1" ht="20.100000000000001" customHeight="1">
      <c r="A6" s="130">
        <v>1</v>
      </c>
      <c r="B6" s="47"/>
      <c r="C6" s="19"/>
      <c r="D6" s="29"/>
      <c r="E6" s="22"/>
      <c r="F6" s="25"/>
      <c r="G6" s="29"/>
      <c r="H6" s="33"/>
      <c r="I6" s="112"/>
      <c r="J6" s="11"/>
    </row>
    <row r="7" spans="1:10" s="10" customFormat="1" ht="20.100000000000001" customHeight="1">
      <c r="A7" s="130">
        <v>2</v>
      </c>
      <c r="B7" s="47"/>
      <c r="C7" s="19"/>
      <c r="D7" s="31"/>
      <c r="E7" s="22"/>
      <c r="F7" s="25"/>
      <c r="G7" s="30"/>
      <c r="H7" s="33"/>
      <c r="I7" s="112"/>
      <c r="J7" s="12"/>
    </row>
    <row r="8" spans="1:10" s="10" customFormat="1" ht="20.100000000000001" customHeight="1">
      <c r="A8" s="130">
        <v>3</v>
      </c>
      <c r="B8" s="48"/>
      <c r="C8" s="20"/>
      <c r="D8" s="31"/>
      <c r="E8" s="23"/>
      <c r="F8" s="26"/>
      <c r="G8" s="28"/>
      <c r="H8" s="17"/>
      <c r="I8" s="131"/>
      <c r="J8" s="12"/>
    </row>
    <row r="9" spans="1:10" s="10" customFormat="1" ht="20.100000000000001" customHeight="1">
      <c r="A9" s="130">
        <v>4</v>
      </c>
      <c r="B9" s="48"/>
      <c r="C9" s="20"/>
      <c r="D9" s="31"/>
      <c r="E9" s="23"/>
      <c r="F9" s="26"/>
      <c r="G9" s="28"/>
      <c r="H9" s="17"/>
      <c r="I9" s="131"/>
      <c r="J9" s="12"/>
    </row>
    <row r="10" spans="1:10" s="10" customFormat="1" ht="20.100000000000001" customHeight="1">
      <c r="A10" s="130">
        <v>5</v>
      </c>
      <c r="B10" s="48"/>
      <c r="C10" s="20"/>
      <c r="D10" s="31"/>
      <c r="E10" s="23"/>
      <c r="F10" s="26"/>
      <c r="G10" s="28"/>
      <c r="H10" s="17"/>
      <c r="I10" s="131"/>
      <c r="J10" s="12"/>
    </row>
    <row r="11" spans="1:10" s="10" customFormat="1" ht="20.100000000000001" customHeight="1">
      <c r="A11" s="130">
        <v>6</v>
      </c>
      <c r="B11" s="48"/>
      <c r="C11" s="20"/>
      <c r="D11" s="31"/>
      <c r="E11" s="23"/>
      <c r="F11" s="26"/>
      <c r="G11" s="28"/>
      <c r="H11" s="17"/>
      <c r="I11" s="131"/>
      <c r="J11" s="12"/>
    </row>
    <row r="12" spans="1:10" s="10" customFormat="1" ht="20.100000000000001" customHeight="1">
      <c r="A12" s="130">
        <v>7</v>
      </c>
      <c r="B12" s="48"/>
      <c r="C12" s="20"/>
      <c r="D12" s="28"/>
      <c r="E12" s="23"/>
      <c r="F12" s="26"/>
      <c r="G12" s="28"/>
      <c r="H12" s="17"/>
      <c r="I12" s="131"/>
      <c r="J12" s="12"/>
    </row>
    <row r="13" spans="1:10" s="10" customFormat="1" ht="20.100000000000001" customHeight="1">
      <c r="A13" s="130">
        <v>8</v>
      </c>
      <c r="B13" s="48"/>
      <c r="C13" s="20"/>
      <c r="D13" s="31"/>
      <c r="E13" s="23"/>
      <c r="F13" s="26"/>
      <c r="G13" s="28"/>
      <c r="H13" s="17"/>
      <c r="I13" s="132"/>
    </row>
    <row r="14" spans="1:10" s="10" customFormat="1" ht="20.100000000000001" customHeight="1">
      <c r="A14" s="130">
        <v>9</v>
      </c>
      <c r="B14" s="48"/>
      <c r="C14" s="80"/>
      <c r="D14" s="28"/>
      <c r="E14" s="23"/>
      <c r="F14" s="26"/>
      <c r="G14" s="28"/>
      <c r="H14" s="17"/>
      <c r="I14" s="132"/>
    </row>
    <row r="15" spans="1:10" s="10" customFormat="1" ht="20.100000000000001" customHeight="1">
      <c r="A15" s="130">
        <v>10</v>
      </c>
      <c r="B15" s="48"/>
      <c r="C15" s="80"/>
      <c r="D15" s="31"/>
      <c r="E15" s="23"/>
      <c r="F15" s="26"/>
      <c r="G15" s="28"/>
      <c r="H15" s="17"/>
      <c r="I15" s="132"/>
    </row>
    <row r="16" spans="1:10" s="10" customFormat="1" ht="20.100000000000001" customHeight="1">
      <c r="A16" s="130">
        <v>11</v>
      </c>
      <c r="B16" s="32"/>
      <c r="C16" s="21"/>
      <c r="D16" s="31"/>
      <c r="E16" s="24"/>
      <c r="F16" s="27"/>
      <c r="G16" s="28"/>
      <c r="H16" s="17"/>
      <c r="I16" s="132"/>
    </row>
    <row r="17" spans="1:9" s="10" customFormat="1" ht="20.100000000000001" customHeight="1">
      <c r="A17" s="130">
        <v>12</v>
      </c>
      <c r="B17" s="32"/>
      <c r="C17" s="21"/>
      <c r="D17" s="28"/>
      <c r="E17" s="24"/>
      <c r="F17" s="28"/>
      <c r="G17" s="28"/>
      <c r="H17" s="17"/>
      <c r="I17" s="132"/>
    </row>
    <row r="18" spans="1:9" s="10" customFormat="1" ht="20.100000000000001" customHeight="1">
      <c r="A18" s="130">
        <v>13</v>
      </c>
      <c r="B18" s="32"/>
      <c r="C18" s="21"/>
      <c r="D18" s="28"/>
      <c r="E18" s="24"/>
      <c r="F18" s="28"/>
      <c r="G18" s="28"/>
      <c r="H18" s="17"/>
      <c r="I18" s="132"/>
    </row>
    <row r="19" spans="1:9" s="10" customFormat="1" ht="20.100000000000001" customHeight="1">
      <c r="A19" s="130">
        <v>14</v>
      </c>
      <c r="B19" s="32"/>
      <c r="C19" s="21"/>
      <c r="D19" s="28"/>
      <c r="E19" s="24"/>
      <c r="F19" s="28"/>
      <c r="G19" s="28"/>
      <c r="H19" s="17"/>
      <c r="I19" s="132"/>
    </row>
    <row r="20" spans="1:9" s="10" customFormat="1" ht="20.100000000000001" customHeight="1">
      <c r="A20" s="130">
        <v>15</v>
      </c>
      <c r="B20" s="32"/>
      <c r="C20" s="21"/>
      <c r="D20" s="31"/>
      <c r="E20" s="24"/>
      <c r="F20" s="27"/>
      <c r="G20" s="28"/>
      <c r="H20" s="17"/>
      <c r="I20" s="132"/>
    </row>
    <row r="21" spans="1:9" s="10" customFormat="1" ht="20.100000000000001" customHeight="1">
      <c r="A21" s="130">
        <v>16</v>
      </c>
      <c r="B21" s="32"/>
      <c r="C21" s="21"/>
      <c r="D21" s="31"/>
      <c r="E21" s="24"/>
      <c r="F21" s="28"/>
      <c r="G21" s="28"/>
      <c r="H21" s="17"/>
      <c r="I21" s="132"/>
    </row>
    <row r="22" spans="1:9" s="10" customFormat="1" ht="20.100000000000001" customHeight="1">
      <c r="A22" s="130">
        <v>17</v>
      </c>
      <c r="B22" s="32"/>
      <c r="C22" s="21"/>
      <c r="D22" s="28"/>
      <c r="E22" s="24"/>
      <c r="F22" s="28"/>
      <c r="G22" s="28"/>
      <c r="H22" s="17"/>
      <c r="I22" s="132"/>
    </row>
    <row r="23" spans="1:9" s="10" customFormat="1" ht="20.100000000000001" customHeight="1">
      <c r="A23" s="130">
        <v>18</v>
      </c>
      <c r="B23" s="48"/>
      <c r="C23" s="20"/>
      <c r="D23" s="31"/>
      <c r="E23" s="23"/>
      <c r="F23" s="26"/>
      <c r="G23" s="28"/>
      <c r="H23" s="17"/>
      <c r="I23" s="132"/>
    </row>
    <row r="24" spans="1:9" s="10" customFormat="1" ht="20.100000000000001" customHeight="1">
      <c r="A24" s="130">
        <v>19</v>
      </c>
      <c r="B24" s="32"/>
      <c r="C24" s="21"/>
      <c r="D24" s="28"/>
      <c r="E24" s="24"/>
      <c r="F24" s="28"/>
      <c r="G24" s="28"/>
      <c r="H24" s="17"/>
      <c r="I24" s="132"/>
    </row>
    <row r="25" spans="1:9" s="10" customFormat="1" ht="20.100000000000001" customHeight="1">
      <c r="A25" s="130">
        <v>20</v>
      </c>
      <c r="B25" s="32"/>
      <c r="C25" s="21"/>
      <c r="D25" s="28"/>
      <c r="E25" s="24"/>
      <c r="F25" s="28"/>
      <c r="G25" s="28"/>
      <c r="H25" s="17"/>
      <c r="I25" s="132"/>
    </row>
    <row r="26" spans="1:9" s="10" customFormat="1" ht="20.100000000000001" customHeight="1">
      <c r="A26" s="130">
        <v>21</v>
      </c>
      <c r="B26" s="32"/>
      <c r="C26" s="21"/>
      <c r="D26" s="28"/>
      <c r="E26" s="24"/>
      <c r="F26" s="28"/>
      <c r="G26" s="28"/>
      <c r="H26" s="17"/>
      <c r="I26" s="132"/>
    </row>
    <row r="27" spans="1:9" s="10" customFormat="1" ht="20.100000000000001" customHeight="1">
      <c r="A27" s="130">
        <v>22</v>
      </c>
      <c r="B27" s="32"/>
      <c r="C27" s="21"/>
      <c r="D27" s="28"/>
      <c r="E27" s="24"/>
      <c r="F27" s="28"/>
      <c r="G27" s="28"/>
      <c r="H27" s="17"/>
      <c r="I27" s="132"/>
    </row>
    <row r="28" spans="1:9" s="10" customFormat="1" ht="20.100000000000001" customHeight="1">
      <c r="A28" s="130">
        <v>23</v>
      </c>
      <c r="B28" s="32"/>
      <c r="C28" s="21"/>
      <c r="D28" s="28"/>
      <c r="E28" s="24"/>
      <c r="F28" s="28"/>
      <c r="G28" s="28"/>
      <c r="H28" s="17"/>
      <c r="I28" s="132"/>
    </row>
    <row r="29" spans="1:9" s="10" customFormat="1" ht="20.100000000000001" customHeight="1">
      <c r="A29" s="130">
        <v>24</v>
      </c>
      <c r="B29" s="32"/>
      <c r="C29" s="21"/>
      <c r="D29" s="28"/>
      <c r="E29" s="24"/>
      <c r="F29" s="28"/>
      <c r="G29" s="28"/>
      <c r="H29" s="17"/>
      <c r="I29" s="132"/>
    </row>
    <row r="30" spans="1:9" s="10" customFormat="1" ht="20.100000000000001" customHeight="1">
      <c r="A30" s="130">
        <v>25</v>
      </c>
      <c r="B30" s="32"/>
      <c r="C30" s="21"/>
      <c r="D30" s="31"/>
      <c r="E30" s="24"/>
      <c r="F30" s="28"/>
      <c r="G30" s="28"/>
      <c r="H30" s="17"/>
      <c r="I30" s="132"/>
    </row>
    <row r="31" spans="1:9" s="10" customFormat="1" ht="20.100000000000001" customHeight="1">
      <c r="A31" s="130">
        <v>26</v>
      </c>
      <c r="B31" s="32"/>
      <c r="C31" s="21"/>
      <c r="D31" s="28"/>
      <c r="E31" s="24"/>
      <c r="F31" s="28"/>
      <c r="G31" s="28"/>
      <c r="H31" s="17"/>
      <c r="I31" s="132"/>
    </row>
    <row r="32" spans="1:9" s="10" customFormat="1" ht="20.100000000000001" customHeight="1">
      <c r="A32" s="130">
        <v>27</v>
      </c>
      <c r="B32" s="32"/>
      <c r="C32" s="21"/>
      <c r="D32" s="28"/>
      <c r="E32" s="24"/>
      <c r="F32" s="28"/>
      <c r="G32" s="28"/>
      <c r="H32" s="17"/>
      <c r="I32" s="132"/>
    </row>
    <row r="33" spans="1:9" s="10" customFormat="1" ht="20.100000000000001" customHeight="1">
      <c r="A33" s="130">
        <v>28</v>
      </c>
      <c r="B33" s="32"/>
      <c r="C33" s="21"/>
      <c r="D33" s="28"/>
      <c r="E33" s="24"/>
      <c r="F33" s="27"/>
      <c r="G33" s="28"/>
      <c r="H33" s="17"/>
      <c r="I33" s="132"/>
    </row>
    <row r="34" spans="1:9" s="10" customFormat="1" ht="20.100000000000001" customHeight="1">
      <c r="A34" s="130">
        <v>29</v>
      </c>
      <c r="B34" s="32"/>
      <c r="C34" s="21"/>
      <c r="D34" s="28"/>
      <c r="E34" s="24"/>
      <c r="F34" s="27"/>
      <c r="G34" s="28"/>
      <c r="H34" s="17"/>
      <c r="I34" s="132"/>
    </row>
    <row r="35" spans="1:9" s="10" customFormat="1" ht="20.100000000000001" customHeight="1">
      <c r="A35" s="130">
        <v>30</v>
      </c>
      <c r="B35" s="32"/>
      <c r="C35" s="21"/>
      <c r="D35" s="28"/>
      <c r="E35" s="24"/>
      <c r="F35" s="27"/>
      <c r="G35" s="28"/>
      <c r="H35" s="17"/>
      <c r="I35" s="132"/>
    </row>
    <row r="36" spans="1:9" s="10" customFormat="1" ht="20.100000000000001" customHeight="1">
      <c r="A36" s="130">
        <v>31</v>
      </c>
      <c r="B36" s="32"/>
      <c r="C36" s="21"/>
      <c r="D36" s="28"/>
      <c r="E36" s="24"/>
      <c r="F36" s="27"/>
      <c r="G36" s="28"/>
      <c r="H36" s="17"/>
      <c r="I36" s="132"/>
    </row>
    <row r="37" spans="1:9" s="10" customFormat="1" ht="20.100000000000001" customHeight="1">
      <c r="A37" s="130">
        <v>32</v>
      </c>
      <c r="B37" s="32"/>
      <c r="C37" s="21"/>
      <c r="D37" s="17"/>
      <c r="E37" s="17"/>
      <c r="F37" s="17"/>
      <c r="G37" s="28"/>
      <c r="H37" s="17"/>
      <c r="I37" s="132"/>
    </row>
    <row r="38" spans="1:9" s="10" customFormat="1" ht="20.100000000000001" customHeight="1">
      <c r="A38" s="130">
        <v>33</v>
      </c>
      <c r="B38" s="32"/>
      <c r="C38" s="21"/>
      <c r="D38" s="17"/>
      <c r="E38" s="17"/>
      <c r="F38" s="17"/>
      <c r="G38" s="28"/>
      <c r="H38" s="17"/>
      <c r="I38" s="132"/>
    </row>
    <row r="39" spans="1:9" s="10" customFormat="1" ht="20.100000000000001" customHeight="1">
      <c r="A39" s="130">
        <v>34</v>
      </c>
      <c r="B39" s="32"/>
      <c r="C39" s="21"/>
      <c r="D39" s="17"/>
      <c r="E39" s="17"/>
      <c r="F39" s="17"/>
      <c r="G39" s="28"/>
      <c r="H39" s="17"/>
      <c r="I39" s="132"/>
    </row>
    <row r="40" spans="1:9" s="10" customFormat="1" ht="20.100000000000001" customHeight="1">
      <c r="A40" s="130">
        <v>35</v>
      </c>
      <c r="B40" s="32"/>
      <c r="C40" s="21"/>
      <c r="D40" s="17"/>
      <c r="E40" s="17"/>
      <c r="F40" s="17"/>
      <c r="G40" s="28"/>
      <c r="H40" s="17"/>
      <c r="I40" s="132"/>
    </row>
    <row r="41" spans="1:9" s="10" customFormat="1" ht="20.100000000000001" customHeight="1">
      <c r="A41" s="130">
        <v>36</v>
      </c>
      <c r="B41" s="32"/>
      <c r="C41" s="15"/>
      <c r="D41" s="17"/>
      <c r="E41" s="17"/>
      <c r="F41" s="17"/>
      <c r="G41" s="28"/>
      <c r="H41" s="17"/>
      <c r="I41" s="132"/>
    </row>
    <row r="42" spans="1:9" s="10" customFormat="1" ht="20.100000000000001" customHeight="1">
      <c r="A42" s="130">
        <v>37</v>
      </c>
      <c r="B42" s="32"/>
      <c r="C42" s="15"/>
      <c r="D42" s="17"/>
      <c r="E42" s="17"/>
      <c r="F42" s="36"/>
      <c r="G42" s="28"/>
      <c r="H42" s="17"/>
      <c r="I42" s="132"/>
    </row>
    <row r="43" spans="1:9" s="10" customFormat="1" ht="20.100000000000001" customHeight="1">
      <c r="A43" s="130">
        <v>38</v>
      </c>
      <c r="B43" s="45"/>
      <c r="C43" s="37"/>
      <c r="D43" s="38"/>
      <c r="E43" s="39"/>
      <c r="F43" s="39"/>
      <c r="G43" s="28"/>
      <c r="H43" s="17"/>
      <c r="I43" s="132"/>
    </row>
    <row r="44" spans="1:9" s="10" customFormat="1" ht="20.100000000000001" customHeight="1">
      <c r="A44" s="130">
        <v>39</v>
      </c>
      <c r="B44" s="45"/>
      <c r="C44" s="37"/>
      <c r="D44" s="38"/>
      <c r="E44" s="39"/>
      <c r="F44" s="39"/>
      <c r="G44" s="28"/>
      <c r="H44" s="17"/>
      <c r="I44" s="132"/>
    </row>
    <row r="45" spans="1:9" s="10" customFormat="1" ht="20.100000000000001" customHeight="1">
      <c r="A45" s="130">
        <v>40</v>
      </c>
      <c r="B45" s="45"/>
      <c r="C45" s="37"/>
      <c r="D45" s="38"/>
      <c r="E45" s="39"/>
      <c r="F45" s="39"/>
      <c r="G45" s="28"/>
      <c r="H45" s="17"/>
      <c r="I45" s="132"/>
    </row>
    <row r="46" spans="1:9" s="10" customFormat="1" ht="20.100000000000001" customHeight="1">
      <c r="A46" s="130">
        <v>41</v>
      </c>
      <c r="B46" s="45"/>
      <c r="C46" s="37"/>
      <c r="D46" s="38"/>
      <c r="E46" s="39"/>
      <c r="F46" s="39"/>
      <c r="G46" s="40"/>
      <c r="H46" s="17"/>
      <c r="I46" s="132"/>
    </row>
    <row r="47" spans="1:9" s="10" customFormat="1" ht="20.100000000000001" customHeight="1">
      <c r="A47" s="130">
        <v>42</v>
      </c>
      <c r="B47" s="45"/>
      <c r="C47" s="37"/>
      <c r="D47" s="38"/>
      <c r="E47" s="39"/>
      <c r="F47" s="39"/>
      <c r="G47" s="40"/>
      <c r="H47" s="17"/>
      <c r="I47" s="132"/>
    </row>
    <row r="48" spans="1:9" s="10" customFormat="1" ht="20.100000000000001" customHeight="1">
      <c r="A48" s="130">
        <v>43</v>
      </c>
      <c r="B48" s="45"/>
      <c r="C48" s="37"/>
      <c r="D48" s="38"/>
      <c r="E48" s="39"/>
      <c r="F48" s="39"/>
      <c r="G48" s="40"/>
      <c r="H48" s="17"/>
      <c r="I48" s="132"/>
    </row>
    <row r="49" spans="1:9" s="10" customFormat="1" ht="20.100000000000001" customHeight="1">
      <c r="A49" s="130">
        <v>44</v>
      </c>
      <c r="B49" s="45"/>
      <c r="C49" s="37"/>
      <c r="D49" s="38"/>
      <c r="E49" s="39"/>
      <c r="F49" s="39"/>
      <c r="G49" s="40"/>
      <c r="H49" s="17"/>
      <c r="I49" s="132"/>
    </row>
    <row r="50" spans="1:9" s="10" customFormat="1" ht="20.100000000000001" customHeight="1">
      <c r="A50" s="130">
        <v>45</v>
      </c>
      <c r="B50" s="45"/>
      <c r="C50" s="37"/>
      <c r="D50" s="38"/>
      <c r="E50" s="39"/>
      <c r="F50" s="39"/>
      <c r="G50" s="40"/>
      <c r="H50" s="17"/>
      <c r="I50" s="132"/>
    </row>
    <row r="51" spans="1:9" s="10" customFormat="1" ht="20.100000000000001" customHeight="1">
      <c r="A51" s="130">
        <v>46</v>
      </c>
      <c r="B51" s="45"/>
      <c r="C51" s="37"/>
      <c r="D51" s="38"/>
      <c r="E51" s="39"/>
      <c r="F51" s="39"/>
      <c r="G51" s="40"/>
      <c r="H51" s="17"/>
      <c r="I51" s="132"/>
    </row>
    <row r="52" spans="1:9" s="10" customFormat="1" ht="20.100000000000001" customHeight="1">
      <c r="A52" s="130">
        <v>47</v>
      </c>
      <c r="B52" s="45"/>
      <c r="C52" s="37"/>
      <c r="D52" s="38"/>
      <c r="E52" s="39"/>
      <c r="F52" s="39"/>
      <c r="G52" s="40"/>
      <c r="H52" s="17"/>
      <c r="I52" s="132"/>
    </row>
    <row r="53" spans="1:9" s="10" customFormat="1" ht="20.100000000000001" customHeight="1">
      <c r="A53" s="130">
        <v>48</v>
      </c>
      <c r="B53" s="45"/>
      <c r="C53" s="37"/>
      <c r="D53" s="38"/>
      <c r="E53" s="39"/>
      <c r="F53" s="39"/>
      <c r="G53" s="40"/>
      <c r="H53" s="17"/>
      <c r="I53" s="132"/>
    </row>
    <row r="54" spans="1:9" s="10" customFormat="1" ht="20.100000000000001" customHeight="1">
      <c r="A54" s="130">
        <v>49</v>
      </c>
      <c r="B54" s="45"/>
      <c r="C54" s="37"/>
      <c r="D54" s="38"/>
      <c r="E54" s="39"/>
      <c r="F54" s="39"/>
      <c r="G54" s="40"/>
      <c r="H54" s="17"/>
      <c r="I54" s="132"/>
    </row>
    <row r="55" spans="1:9" s="10" customFormat="1" ht="20.100000000000001" customHeight="1">
      <c r="A55" s="130">
        <v>50</v>
      </c>
      <c r="B55" s="45"/>
      <c r="C55" s="37"/>
      <c r="D55" s="38"/>
      <c r="E55" s="39"/>
      <c r="F55" s="39"/>
      <c r="G55" s="40"/>
      <c r="H55" s="17"/>
      <c r="I55" s="132"/>
    </row>
    <row r="56" spans="1:9" s="10" customFormat="1" ht="20.100000000000001" customHeight="1">
      <c r="A56" s="130">
        <v>51</v>
      </c>
      <c r="B56" s="45"/>
      <c r="C56" s="37"/>
      <c r="D56" s="38"/>
      <c r="E56" s="39"/>
      <c r="F56" s="39"/>
      <c r="G56" s="40"/>
      <c r="H56" s="17"/>
      <c r="I56" s="132"/>
    </row>
    <row r="57" spans="1:9" s="10" customFormat="1" ht="20.100000000000001" customHeight="1">
      <c r="A57" s="130">
        <v>52</v>
      </c>
      <c r="B57" s="45"/>
      <c r="C57" s="37"/>
      <c r="D57" s="38"/>
      <c r="E57" s="39"/>
      <c r="F57" s="39"/>
      <c r="G57" s="40"/>
      <c r="H57" s="17"/>
      <c r="I57" s="132"/>
    </row>
    <row r="58" spans="1:9" s="10" customFormat="1" ht="20.100000000000001" customHeight="1">
      <c r="A58" s="130">
        <v>53</v>
      </c>
      <c r="B58" s="45"/>
      <c r="C58" s="37"/>
      <c r="D58" s="38"/>
      <c r="E58" s="39"/>
      <c r="F58" s="39"/>
      <c r="G58" s="40"/>
      <c r="H58" s="17"/>
      <c r="I58" s="132"/>
    </row>
    <row r="59" spans="1:9" s="10" customFormat="1" ht="20.100000000000001" customHeight="1">
      <c r="A59" s="130">
        <v>54</v>
      </c>
      <c r="B59" s="45"/>
      <c r="C59" s="37"/>
      <c r="D59" s="38"/>
      <c r="E59" s="39"/>
      <c r="F59" s="39"/>
      <c r="G59" s="40"/>
      <c r="H59" s="17"/>
      <c r="I59" s="132"/>
    </row>
    <row r="60" spans="1:9" s="10" customFormat="1" ht="20.100000000000001" customHeight="1">
      <c r="A60" s="130">
        <v>55</v>
      </c>
      <c r="B60" s="45"/>
      <c r="C60" s="37"/>
      <c r="D60" s="38"/>
      <c r="E60" s="39"/>
      <c r="F60" s="39"/>
      <c r="G60" s="40"/>
      <c r="H60" s="17"/>
      <c r="I60" s="132"/>
    </row>
    <row r="61" spans="1:9" s="10" customFormat="1" ht="20.100000000000001" customHeight="1">
      <c r="A61" s="130">
        <v>56</v>
      </c>
      <c r="B61" s="32"/>
      <c r="C61" s="15"/>
      <c r="D61" s="17"/>
      <c r="E61" s="17"/>
      <c r="F61" s="17"/>
      <c r="G61" s="40"/>
      <c r="H61" s="17"/>
      <c r="I61" s="132"/>
    </row>
    <row r="62" spans="1:9" s="10" customFormat="1" ht="20.100000000000001" customHeight="1">
      <c r="A62" s="130">
        <v>57</v>
      </c>
      <c r="B62" s="32"/>
      <c r="C62" s="15"/>
      <c r="D62" s="17"/>
      <c r="E62" s="17"/>
      <c r="F62" s="17"/>
      <c r="G62" s="40"/>
      <c r="H62" s="17"/>
      <c r="I62" s="132"/>
    </row>
    <row r="63" spans="1:9" s="10" customFormat="1" ht="20.100000000000001" customHeight="1">
      <c r="A63" s="130">
        <v>58</v>
      </c>
      <c r="B63" s="32"/>
      <c r="C63" s="15"/>
      <c r="D63" s="17"/>
      <c r="E63" s="17"/>
      <c r="F63" s="17"/>
      <c r="G63" s="40"/>
      <c r="H63" s="17"/>
      <c r="I63" s="132"/>
    </row>
    <row r="64" spans="1:9" s="10" customFormat="1" ht="20.100000000000001" customHeight="1">
      <c r="A64" s="130">
        <v>59</v>
      </c>
      <c r="B64" s="45"/>
      <c r="C64" s="37"/>
      <c r="D64" s="38"/>
      <c r="E64" s="39"/>
      <c r="F64" s="39"/>
      <c r="G64" s="40"/>
      <c r="H64" s="17"/>
      <c r="I64" s="132"/>
    </row>
    <row r="65" spans="1:9" s="10" customFormat="1" ht="20.100000000000001" customHeight="1">
      <c r="A65" s="130">
        <v>60</v>
      </c>
      <c r="B65" s="45"/>
      <c r="C65" s="37"/>
      <c r="D65" s="38"/>
      <c r="E65" s="39"/>
      <c r="F65" s="39"/>
      <c r="G65" s="40"/>
      <c r="H65" s="17"/>
      <c r="I65" s="132"/>
    </row>
    <row r="66" spans="1:9" s="10" customFormat="1" ht="20.100000000000001" customHeight="1">
      <c r="A66" s="130">
        <v>61</v>
      </c>
      <c r="B66" s="45"/>
      <c r="C66" s="37"/>
      <c r="D66" s="38"/>
      <c r="E66" s="39"/>
      <c r="F66" s="39"/>
      <c r="G66" s="40"/>
      <c r="H66" s="17"/>
      <c r="I66" s="132"/>
    </row>
    <row r="67" spans="1:9" s="10" customFormat="1" ht="20.100000000000001" customHeight="1">
      <c r="A67" s="130">
        <v>62</v>
      </c>
      <c r="B67" s="45"/>
      <c r="C67" s="37"/>
      <c r="D67" s="38"/>
      <c r="E67" s="39"/>
      <c r="F67" s="39"/>
      <c r="G67" s="40"/>
      <c r="H67" s="17"/>
      <c r="I67" s="132"/>
    </row>
    <row r="68" spans="1:9" s="10" customFormat="1" ht="20.100000000000001" customHeight="1">
      <c r="A68" s="130">
        <v>63</v>
      </c>
      <c r="B68" s="45"/>
      <c r="C68" s="37"/>
      <c r="D68" s="38"/>
      <c r="E68" s="39"/>
      <c r="F68" s="39"/>
      <c r="G68" s="40"/>
      <c r="H68" s="17"/>
      <c r="I68" s="132"/>
    </row>
    <row r="69" spans="1:9" s="10" customFormat="1" ht="15" customHeight="1">
      <c r="A69" s="130">
        <v>64</v>
      </c>
      <c r="B69" s="45"/>
      <c r="C69" s="37"/>
      <c r="D69" s="38"/>
      <c r="E69" s="39"/>
      <c r="F69" s="39"/>
      <c r="G69" s="40"/>
      <c r="H69" s="17"/>
      <c r="I69" s="132"/>
    </row>
    <row r="70" spans="1:9" s="10" customFormat="1" ht="15" customHeight="1">
      <c r="A70" s="130">
        <v>65</v>
      </c>
      <c r="B70" s="45"/>
      <c r="C70" s="37"/>
      <c r="D70" s="38"/>
      <c r="E70" s="39"/>
      <c r="F70" s="39"/>
      <c r="G70" s="40"/>
      <c r="H70" s="17"/>
      <c r="I70" s="132"/>
    </row>
    <row r="71" spans="1:9" s="10" customFormat="1" ht="15" customHeight="1">
      <c r="A71" s="130">
        <v>66</v>
      </c>
      <c r="B71" s="45"/>
      <c r="C71" s="37"/>
      <c r="D71" s="38"/>
      <c r="E71" s="39"/>
      <c r="F71" s="39"/>
      <c r="G71" s="40"/>
      <c r="H71" s="17"/>
      <c r="I71" s="132"/>
    </row>
    <row r="72" spans="1:9" s="10" customFormat="1" ht="15" customHeight="1">
      <c r="A72" s="130">
        <v>67</v>
      </c>
      <c r="B72" s="45"/>
      <c r="C72" s="37"/>
      <c r="D72" s="38"/>
      <c r="E72" s="39"/>
      <c r="F72" s="39"/>
      <c r="G72" s="40"/>
      <c r="H72" s="17"/>
      <c r="I72" s="132"/>
    </row>
    <row r="73" spans="1:9" s="10" customFormat="1" ht="15" customHeight="1">
      <c r="A73" s="130">
        <v>68</v>
      </c>
      <c r="B73" s="45"/>
      <c r="C73" s="37"/>
      <c r="D73" s="38"/>
      <c r="E73" s="39"/>
      <c r="F73" s="39"/>
      <c r="G73" s="40"/>
      <c r="H73" s="17"/>
      <c r="I73" s="132"/>
    </row>
    <row r="74" spans="1:9" s="10" customFormat="1" ht="15" customHeight="1">
      <c r="A74" s="130">
        <v>69</v>
      </c>
      <c r="B74" s="45"/>
      <c r="C74" s="37"/>
      <c r="D74" s="38"/>
      <c r="E74" s="39"/>
      <c r="F74" s="39"/>
      <c r="G74" s="40"/>
      <c r="H74" s="17"/>
      <c r="I74" s="132"/>
    </row>
    <row r="75" spans="1:9" s="10" customFormat="1" ht="15" customHeight="1">
      <c r="A75" s="130">
        <v>70</v>
      </c>
      <c r="B75" s="45"/>
      <c r="C75" s="37"/>
      <c r="D75" s="38"/>
      <c r="E75" s="39"/>
      <c r="F75" s="39"/>
      <c r="G75" s="40"/>
      <c r="H75" s="17"/>
      <c r="I75" s="132"/>
    </row>
    <row r="76" spans="1:9" s="10" customFormat="1" ht="15" customHeight="1">
      <c r="A76" s="130">
        <v>71</v>
      </c>
      <c r="B76" s="45"/>
      <c r="C76" s="37"/>
      <c r="D76" s="38"/>
      <c r="E76" s="39"/>
      <c r="F76" s="39"/>
      <c r="G76" s="40"/>
      <c r="H76" s="17"/>
      <c r="I76" s="132"/>
    </row>
    <row r="77" spans="1:9" s="10" customFormat="1" ht="15" customHeight="1">
      <c r="A77" s="130">
        <v>72</v>
      </c>
      <c r="B77" s="45"/>
      <c r="C77" s="37"/>
      <c r="D77" s="38"/>
      <c r="E77" s="39"/>
      <c r="F77" s="39"/>
      <c r="G77" s="40"/>
      <c r="H77" s="17"/>
      <c r="I77" s="132"/>
    </row>
    <row r="78" spans="1:9" s="10" customFormat="1" ht="15" customHeight="1">
      <c r="A78" s="130">
        <v>73</v>
      </c>
      <c r="B78" s="45"/>
      <c r="C78" s="37"/>
      <c r="D78" s="38"/>
      <c r="E78" s="39"/>
      <c r="F78" s="39"/>
      <c r="G78" s="40"/>
      <c r="H78" s="17"/>
      <c r="I78" s="132"/>
    </row>
    <row r="79" spans="1:9" s="10" customFormat="1" ht="15" customHeight="1">
      <c r="A79" s="130">
        <v>74</v>
      </c>
      <c r="B79" s="45"/>
      <c r="C79" s="37"/>
      <c r="D79" s="38"/>
      <c r="E79" s="39"/>
      <c r="F79" s="39"/>
      <c r="G79" s="40"/>
      <c r="H79" s="17"/>
      <c r="I79" s="132"/>
    </row>
    <row r="80" spans="1:9" s="10" customFormat="1" ht="15" customHeight="1">
      <c r="A80" s="130">
        <v>75</v>
      </c>
      <c r="B80" s="45"/>
      <c r="C80" s="37"/>
      <c r="D80" s="38"/>
      <c r="E80" s="39"/>
      <c r="F80" s="39"/>
      <c r="G80" s="40"/>
      <c r="H80" s="17"/>
      <c r="I80" s="132"/>
    </row>
    <row r="81" spans="1:9" s="10" customFormat="1" ht="15" customHeight="1">
      <c r="A81" s="130">
        <v>76</v>
      </c>
      <c r="B81" s="45"/>
      <c r="C81" s="37"/>
      <c r="D81" s="38"/>
      <c r="E81" s="39"/>
      <c r="F81" s="39"/>
      <c r="G81" s="40"/>
      <c r="H81" s="17"/>
      <c r="I81" s="132"/>
    </row>
    <row r="82" spans="1:9" s="10" customFormat="1" ht="15" customHeight="1">
      <c r="A82" s="130">
        <v>77</v>
      </c>
      <c r="B82" s="45"/>
      <c r="C82" s="37"/>
      <c r="D82" s="38"/>
      <c r="E82" s="39"/>
      <c r="F82" s="39"/>
      <c r="G82" s="40"/>
      <c r="H82" s="17"/>
      <c r="I82" s="132"/>
    </row>
    <row r="83" spans="1:9" s="10" customFormat="1" ht="15" customHeight="1">
      <c r="A83" s="130">
        <v>78</v>
      </c>
      <c r="B83" s="45"/>
      <c r="C83" s="37"/>
      <c r="D83" s="38"/>
      <c r="E83" s="39"/>
      <c r="F83" s="39"/>
      <c r="G83" s="40"/>
      <c r="H83" s="17"/>
      <c r="I83" s="132"/>
    </row>
    <row r="84" spans="1:9" s="10" customFormat="1" ht="15" customHeight="1">
      <c r="A84" s="130">
        <v>79</v>
      </c>
      <c r="B84" s="45"/>
      <c r="C84" s="37"/>
      <c r="D84" s="38"/>
      <c r="E84" s="39"/>
      <c r="F84" s="39"/>
      <c r="G84" s="40"/>
      <c r="H84" s="17"/>
      <c r="I84" s="132"/>
    </row>
    <row r="85" spans="1:9" s="10" customFormat="1" ht="15" customHeight="1">
      <c r="A85" s="130">
        <v>80</v>
      </c>
      <c r="B85" s="45"/>
      <c r="C85" s="37"/>
      <c r="D85" s="39"/>
      <c r="E85" s="39"/>
      <c r="F85" s="39"/>
      <c r="G85" s="40"/>
      <c r="H85" s="17"/>
      <c r="I85" s="132"/>
    </row>
    <row r="86" spans="1:9" s="10" customFormat="1" ht="15" customHeight="1">
      <c r="A86" s="130">
        <v>81</v>
      </c>
      <c r="B86" s="45"/>
      <c r="C86" s="37"/>
      <c r="D86" s="39"/>
      <c r="E86" s="39"/>
      <c r="F86" s="39"/>
      <c r="G86" s="40"/>
      <c r="H86" s="17"/>
      <c r="I86" s="132"/>
    </row>
    <row r="87" spans="1:9" s="10" customFormat="1" ht="15" customHeight="1">
      <c r="A87" s="130">
        <v>82</v>
      </c>
      <c r="B87" s="45"/>
      <c r="C87" s="37"/>
      <c r="D87" s="39"/>
      <c r="E87" s="39"/>
      <c r="F87" s="39"/>
      <c r="G87" s="40"/>
      <c r="H87" s="17"/>
      <c r="I87" s="132"/>
    </row>
    <row r="88" spans="1:9" s="10" customFormat="1" ht="15" customHeight="1">
      <c r="A88" s="130">
        <v>83</v>
      </c>
      <c r="B88" s="45"/>
      <c r="C88" s="37"/>
      <c r="D88" s="39"/>
      <c r="E88" s="39"/>
      <c r="F88" s="39"/>
      <c r="G88" s="40"/>
      <c r="H88" s="17"/>
      <c r="I88" s="132"/>
    </row>
    <row r="89" spans="1:9" s="10" customFormat="1" ht="15" customHeight="1">
      <c r="A89" s="130">
        <v>84</v>
      </c>
      <c r="B89" s="45"/>
      <c r="C89" s="37"/>
      <c r="D89" s="39"/>
      <c r="E89" s="39"/>
      <c r="F89" s="39"/>
      <c r="G89" s="40"/>
      <c r="H89" s="17"/>
      <c r="I89" s="132"/>
    </row>
    <row r="90" spans="1:9" s="10" customFormat="1" ht="15" customHeight="1">
      <c r="A90" s="130">
        <v>85</v>
      </c>
      <c r="B90" s="45"/>
      <c r="C90" s="37"/>
      <c r="D90" s="39"/>
      <c r="E90" s="39"/>
      <c r="F90" s="39"/>
      <c r="G90" s="40"/>
      <c r="H90" s="17"/>
      <c r="I90" s="132"/>
    </row>
    <row r="91" spans="1:9" s="10" customFormat="1" ht="15" customHeight="1">
      <c r="A91" s="130">
        <v>86</v>
      </c>
      <c r="B91" s="45"/>
      <c r="C91" s="37"/>
      <c r="D91" s="39"/>
      <c r="E91" s="39"/>
      <c r="F91" s="39"/>
      <c r="G91" s="40"/>
      <c r="H91" s="17"/>
      <c r="I91" s="132"/>
    </row>
    <row r="92" spans="1:9" s="10" customFormat="1" ht="15" customHeight="1">
      <c r="A92" s="130">
        <v>87</v>
      </c>
      <c r="B92" s="45"/>
      <c r="C92" s="37"/>
      <c r="D92" s="39"/>
      <c r="E92" s="39"/>
      <c r="F92" s="39"/>
      <c r="G92" s="40"/>
      <c r="H92" s="17"/>
      <c r="I92" s="132"/>
    </row>
    <row r="93" spans="1:9" s="10" customFormat="1" ht="15" customHeight="1">
      <c r="A93" s="130">
        <v>88</v>
      </c>
      <c r="B93" s="45"/>
      <c r="C93" s="37"/>
      <c r="D93" s="39"/>
      <c r="E93" s="39"/>
      <c r="F93" s="39"/>
      <c r="G93" s="40"/>
      <c r="H93" s="17"/>
      <c r="I93" s="132"/>
    </row>
    <row r="94" spans="1:9" s="10" customFormat="1" ht="15" customHeight="1">
      <c r="A94" s="130">
        <v>89</v>
      </c>
      <c r="B94" s="45"/>
      <c r="C94" s="37"/>
      <c r="D94" s="39"/>
      <c r="E94" s="39"/>
      <c r="F94" s="39"/>
      <c r="G94" s="40"/>
      <c r="H94" s="17"/>
      <c r="I94" s="132"/>
    </row>
    <row r="95" spans="1:9" s="10" customFormat="1" ht="15" customHeight="1">
      <c r="A95" s="130">
        <v>90</v>
      </c>
      <c r="B95" s="45"/>
      <c r="C95" s="37"/>
      <c r="D95" s="39"/>
      <c r="E95" s="39"/>
      <c r="F95" s="39"/>
      <c r="G95" s="40"/>
      <c r="H95" s="17"/>
      <c r="I95" s="132"/>
    </row>
    <row r="96" spans="1:9" s="10" customFormat="1" ht="15" customHeight="1">
      <c r="A96" s="130">
        <v>91</v>
      </c>
      <c r="B96" s="45"/>
      <c r="C96" s="37"/>
      <c r="D96" s="39"/>
      <c r="E96" s="39"/>
      <c r="F96" s="39"/>
      <c r="G96" s="40"/>
      <c r="H96" s="17"/>
      <c r="I96" s="132"/>
    </row>
    <row r="97" spans="1:9" s="10" customFormat="1" ht="15" customHeight="1">
      <c r="A97" s="130">
        <v>92</v>
      </c>
      <c r="B97" s="45"/>
      <c r="C97" s="37"/>
      <c r="D97" s="39"/>
      <c r="E97" s="39"/>
      <c r="F97" s="39"/>
      <c r="G97" s="40"/>
      <c r="H97" s="17"/>
      <c r="I97" s="132"/>
    </row>
    <row r="98" spans="1:9" s="10" customFormat="1" ht="15" customHeight="1">
      <c r="A98" s="130">
        <v>93</v>
      </c>
      <c r="B98" s="45"/>
      <c r="C98" s="37"/>
      <c r="D98" s="39"/>
      <c r="E98" s="39"/>
      <c r="F98" s="39"/>
      <c r="G98" s="40"/>
      <c r="H98" s="17"/>
      <c r="I98" s="132"/>
    </row>
    <row r="99" spans="1:9" s="10" customFormat="1" ht="15" customHeight="1">
      <c r="A99" s="130">
        <v>94</v>
      </c>
      <c r="B99" s="45"/>
      <c r="C99" s="37"/>
      <c r="D99" s="39"/>
      <c r="E99" s="39"/>
      <c r="F99" s="39"/>
      <c r="G99" s="40"/>
      <c r="H99" s="17"/>
      <c r="I99" s="132"/>
    </row>
    <row r="100" spans="1:9" s="10" customFormat="1" ht="15" customHeight="1">
      <c r="A100" s="130">
        <v>95</v>
      </c>
      <c r="B100" s="45"/>
      <c r="C100" s="37"/>
      <c r="D100" s="39"/>
      <c r="E100" s="39"/>
      <c r="F100" s="39"/>
      <c r="G100" s="40"/>
      <c r="H100" s="17"/>
      <c r="I100" s="132"/>
    </row>
    <row r="101" spans="1:9" s="10" customFormat="1" ht="15" customHeight="1">
      <c r="A101" s="130">
        <v>96</v>
      </c>
      <c r="B101" s="32"/>
      <c r="C101" s="46"/>
      <c r="D101" s="17"/>
      <c r="E101" s="17"/>
      <c r="F101" s="17"/>
      <c r="G101" s="28"/>
      <c r="H101" s="17"/>
      <c r="I101" s="132"/>
    </row>
    <row r="102" spans="1:9" s="10" customFormat="1" ht="15" customHeight="1">
      <c r="A102" s="130">
        <v>97</v>
      </c>
      <c r="B102" s="32"/>
      <c r="C102" s="15"/>
      <c r="D102" s="17"/>
      <c r="E102" s="17"/>
      <c r="F102" s="17"/>
      <c r="G102" s="28"/>
      <c r="H102" s="17"/>
      <c r="I102" s="132"/>
    </row>
    <row r="103" spans="1:9" s="10" customFormat="1" ht="15" customHeight="1">
      <c r="A103" s="130">
        <v>98</v>
      </c>
      <c r="B103" s="32"/>
      <c r="C103" s="15"/>
      <c r="D103" s="17"/>
      <c r="E103" s="17"/>
      <c r="F103" s="17"/>
      <c r="G103" s="28"/>
      <c r="H103" s="17"/>
      <c r="I103" s="132"/>
    </row>
    <row r="104" spans="1:9" s="10" customFormat="1" ht="15" customHeight="1">
      <c r="A104" s="130">
        <v>99</v>
      </c>
      <c r="B104" s="32"/>
      <c r="C104" s="15"/>
      <c r="D104" s="17"/>
      <c r="E104" s="17"/>
      <c r="F104" s="17"/>
      <c r="G104" s="28"/>
      <c r="H104" s="17"/>
      <c r="I104" s="132"/>
    </row>
    <row r="105" spans="1:9" s="10" customFormat="1" ht="15" customHeight="1">
      <c r="A105" s="133">
        <v>100</v>
      </c>
      <c r="B105" s="134"/>
      <c r="C105" s="138"/>
      <c r="D105" s="135"/>
      <c r="E105" s="135"/>
      <c r="F105" s="135"/>
      <c r="G105" s="136"/>
      <c r="H105" s="135"/>
      <c r="I105" s="137"/>
    </row>
    <row r="106" spans="1:9" ht="20.25">
      <c r="B106" s="41"/>
      <c r="C106" s="42"/>
      <c r="D106" s="42"/>
      <c r="E106" s="42"/>
      <c r="F106" s="42"/>
      <c r="G106" s="42"/>
      <c r="H106" s="42"/>
      <c r="I106" s="42"/>
    </row>
  </sheetData>
  <autoFilter ref="B5:G105" xr:uid="{CE6C056B-1174-47E5-B58F-BD1F5280A530}"/>
  <mergeCells count="5">
    <mergeCell ref="A1:A5"/>
    <mergeCell ref="B1:I2"/>
    <mergeCell ref="H3:I3"/>
    <mergeCell ref="B3:B4"/>
    <mergeCell ref="C3:C4"/>
  </mergeCells>
  <dataValidations count="1">
    <dataValidation allowBlank="1" showErrorMessage="1" sqref="C5:D5" xr:uid="{2BA6D6EB-668E-4193-B0BF-5BFB5F0BE49E}"/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C65AFA2-1046-4233-B5EF-3CFC04871AC7}">
          <x14:formula1>
            <xm:f>DATA!$B$4:$B$10</xm:f>
          </x14:formula1>
          <xm:sqref>H4</xm:sqref>
        </x14:dataValidation>
        <x14:dataValidation type="list" allowBlank="1" showInputMessage="1" showErrorMessage="1" xr:uid="{D6F6B08A-5F32-4723-AA5F-9F510C0E107E}">
          <x14:formula1>
            <xm:f>DATA!$C$2:$C$6</xm:f>
          </x14:formula1>
          <xm:sqref>G6:G105 F23</xm:sqref>
        </x14:dataValidation>
        <x14:dataValidation type="list" allowBlank="1" showErrorMessage="1" xr:uid="{B097A0E7-2D61-441F-90E0-6412E35B5450}">
          <x14:formula1>
            <xm:f>DATA!$D$2:$D$17</xm:f>
          </x14:formula1>
          <xm:sqref>C6:C105</xm:sqref>
        </x14:dataValidation>
        <x14:dataValidation type="list" allowBlank="1" showInputMessage="1" showErrorMessage="1" xr:uid="{CF7F95A7-F3F6-42E0-8CF9-328E2915A30E}">
          <x14:formula1>
            <xm:f>DATA!$B$2:$B$20</xm:f>
          </x14:formula1>
          <xm:sqref>I6:I7 D6:D105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B7D53-88D1-4892-AFB0-317382B07873}">
  <sheetPr codeName="Planilha13"/>
  <dimension ref="A1:L106"/>
  <sheetViews>
    <sheetView zoomScale="90" zoomScaleNormal="90" workbookViewId="0">
      <selection activeCell="B3" sqref="B3:B4"/>
    </sheetView>
  </sheetViews>
  <sheetFormatPr defaultRowHeight="15"/>
  <cols>
    <col min="1" max="1" width="4.42578125" style="49" customWidth="1"/>
    <col min="2" max="2" width="40.7109375" style="43" customWidth="1"/>
    <col min="3" max="3" width="55.7109375" style="44" customWidth="1"/>
    <col min="4" max="4" width="30.7109375" style="44" customWidth="1"/>
    <col min="5" max="5" width="20.7109375" style="44" customWidth="1"/>
    <col min="6" max="6" width="30.7109375" style="44" customWidth="1"/>
    <col min="7" max="7" width="20.7109375" style="44" customWidth="1"/>
    <col min="8" max="8" width="34.7109375" style="44" customWidth="1"/>
    <col min="9" max="9" width="19.7109375" style="44" customWidth="1"/>
    <col min="10" max="10" width="10.5703125" style="10" bestFit="1" customWidth="1"/>
    <col min="11" max="12" width="9.140625" style="10"/>
    <col min="13" max="16384" width="9.140625" style="8"/>
  </cols>
  <sheetData>
    <row r="1" spans="1:10" ht="15" customHeight="1">
      <c r="A1" s="128" t="s">
        <v>58</v>
      </c>
      <c r="B1" s="123" t="s">
        <v>81</v>
      </c>
      <c r="C1" s="101"/>
      <c r="D1" s="101"/>
      <c r="E1" s="101"/>
      <c r="F1" s="101"/>
      <c r="G1" s="101"/>
      <c r="H1" s="101"/>
      <c r="I1" s="102"/>
      <c r="J1" s="9"/>
    </row>
    <row r="2" spans="1:10" ht="33.75" customHeight="1">
      <c r="A2" s="129"/>
      <c r="B2" s="93"/>
      <c r="C2" s="94"/>
      <c r="D2" s="94"/>
      <c r="E2" s="94"/>
      <c r="F2" s="94"/>
      <c r="G2" s="94"/>
      <c r="H2" s="94"/>
      <c r="I2" s="104"/>
      <c r="J2" s="9"/>
    </row>
    <row r="3" spans="1:10" ht="42.75" customHeight="1">
      <c r="A3" s="129"/>
      <c r="B3" s="96" t="s">
        <v>25</v>
      </c>
      <c r="C3" s="98">
        <f>E3-E4-(SUMIFS(E6:E105,G6:G105,"Reserva") + SUMIFS(E6:E105,G6:G105,"Investimento"))</f>
        <v>0</v>
      </c>
      <c r="D3" s="35" t="s">
        <v>36</v>
      </c>
      <c r="E3" s="65">
        <f>SUMIF(($G$6:$G$105),"Receita",($E$6:$E$105))</f>
        <v>0</v>
      </c>
      <c r="F3" s="67" t="s">
        <v>38</v>
      </c>
      <c r="G3" s="34">
        <f>SUMIF(($G$6:$G$105),"Custo",($E$6:$E$105))</f>
        <v>0</v>
      </c>
      <c r="H3" s="95" t="s">
        <v>56</v>
      </c>
      <c r="I3" s="106"/>
    </row>
    <row r="4" spans="1:10" ht="31.5" customHeight="1">
      <c r="A4" s="129"/>
      <c r="B4" s="97"/>
      <c r="C4" s="99"/>
      <c r="D4" s="35" t="s">
        <v>37</v>
      </c>
      <c r="E4" s="65">
        <f>G3+G4</f>
        <v>0</v>
      </c>
      <c r="F4" s="67" t="s">
        <v>39</v>
      </c>
      <c r="G4" s="34">
        <f>SUMIF(($G$6:$G$105),"Gasto",($E$6:$E$105))</f>
        <v>0</v>
      </c>
      <c r="H4" s="66" t="s">
        <v>0</v>
      </c>
      <c r="I4" s="108">
        <f>SUMIF(D6:D105,H4,E6:E105)</f>
        <v>0</v>
      </c>
    </row>
    <row r="5" spans="1:10" ht="23.25" customHeight="1">
      <c r="A5" s="129"/>
      <c r="B5" s="18" t="s">
        <v>20</v>
      </c>
      <c r="C5" s="13" t="s">
        <v>15</v>
      </c>
      <c r="D5" s="13" t="s">
        <v>16</v>
      </c>
      <c r="E5" s="13" t="s">
        <v>17</v>
      </c>
      <c r="F5" s="13" t="s">
        <v>18</v>
      </c>
      <c r="G5" s="13" t="s">
        <v>19</v>
      </c>
      <c r="H5" s="14"/>
      <c r="I5" s="110"/>
    </row>
    <row r="6" spans="1:10" s="10" customFormat="1" ht="20.100000000000001" customHeight="1">
      <c r="A6" s="130">
        <v>1</v>
      </c>
      <c r="B6" s="47"/>
      <c r="C6" s="19"/>
      <c r="D6" s="29"/>
      <c r="E6" s="22"/>
      <c r="F6" s="25"/>
      <c r="G6" s="29"/>
      <c r="H6" s="33"/>
      <c r="I6" s="112"/>
      <c r="J6" s="11"/>
    </row>
    <row r="7" spans="1:10" s="10" customFormat="1" ht="20.100000000000001" customHeight="1">
      <c r="A7" s="130">
        <v>2</v>
      </c>
      <c r="B7" s="47"/>
      <c r="C7" s="19"/>
      <c r="D7" s="31"/>
      <c r="E7" s="22"/>
      <c r="F7" s="25"/>
      <c r="G7" s="30"/>
      <c r="H7" s="33"/>
      <c r="I7" s="112"/>
      <c r="J7" s="12"/>
    </row>
    <row r="8" spans="1:10" s="10" customFormat="1" ht="20.100000000000001" customHeight="1">
      <c r="A8" s="130">
        <v>3</v>
      </c>
      <c r="B8" s="48"/>
      <c r="C8" s="20"/>
      <c r="D8" s="31"/>
      <c r="E8" s="23"/>
      <c r="F8" s="26"/>
      <c r="G8" s="28"/>
      <c r="H8" s="17"/>
      <c r="I8" s="131"/>
      <c r="J8" s="12"/>
    </row>
    <row r="9" spans="1:10" s="10" customFormat="1" ht="20.100000000000001" customHeight="1">
      <c r="A9" s="130">
        <v>4</v>
      </c>
      <c r="B9" s="48"/>
      <c r="C9" s="20"/>
      <c r="D9" s="31"/>
      <c r="E9" s="23"/>
      <c r="F9" s="26"/>
      <c r="G9" s="28"/>
      <c r="H9" s="17"/>
      <c r="I9" s="131"/>
      <c r="J9" s="12"/>
    </row>
    <row r="10" spans="1:10" s="10" customFormat="1" ht="20.100000000000001" customHeight="1">
      <c r="A10" s="130">
        <v>5</v>
      </c>
      <c r="B10" s="48"/>
      <c r="C10" s="20"/>
      <c r="D10" s="31"/>
      <c r="E10" s="23"/>
      <c r="F10" s="26"/>
      <c r="G10" s="28"/>
      <c r="H10" s="17"/>
      <c r="I10" s="131"/>
      <c r="J10" s="12"/>
    </row>
    <row r="11" spans="1:10" s="10" customFormat="1" ht="20.100000000000001" customHeight="1">
      <c r="A11" s="130">
        <v>6</v>
      </c>
      <c r="B11" s="48"/>
      <c r="C11" s="20"/>
      <c r="D11" s="31"/>
      <c r="E11" s="23"/>
      <c r="F11" s="26"/>
      <c r="G11" s="28"/>
      <c r="H11" s="17"/>
      <c r="I11" s="131"/>
      <c r="J11" s="12"/>
    </row>
    <row r="12" spans="1:10" s="10" customFormat="1" ht="20.100000000000001" customHeight="1">
      <c r="A12" s="130">
        <v>7</v>
      </c>
      <c r="B12" s="48"/>
      <c r="C12" s="20"/>
      <c r="D12" s="28"/>
      <c r="E12" s="23"/>
      <c r="F12" s="26"/>
      <c r="G12" s="28"/>
      <c r="H12" s="17"/>
      <c r="I12" s="131"/>
      <c r="J12" s="12"/>
    </row>
    <row r="13" spans="1:10" s="10" customFormat="1" ht="20.100000000000001" customHeight="1">
      <c r="A13" s="130">
        <v>8</v>
      </c>
      <c r="B13" s="48"/>
      <c r="C13" s="20"/>
      <c r="D13" s="31"/>
      <c r="E13" s="23"/>
      <c r="F13" s="26"/>
      <c r="G13" s="28"/>
      <c r="H13" s="17"/>
      <c r="I13" s="132"/>
    </row>
    <row r="14" spans="1:10" s="10" customFormat="1" ht="20.100000000000001" customHeight="1">
      <c r="A14" s="130">
        <v>9</v>
      </c>
      <c r="B14" s="32"/>
      <c r="C14" s="20"/>
      <c r="D14" s="31"/>
      <c r="E14" s="24"/>
      <c r="F14" s="27"/>
      <c r="G14" s="28"/>
      <c r="H14" s="17"/>
      <c r="I14" s="132"/>
    </row>
    <row r="15" spans="1:10" s="10" customFormat="1" ht="20.100000000000001" customHeight="1">
      <c r="A15" s="130">
        <v>10</v>
      </c>
      <c r="B15" s="32"/>
      <c r="C15" s="21"/>
      <c r="D15" s="28"/>
      <c r="E15" s="24"/>
      <c r="F15" s="27"/>
      <c r="G15" s="28"/>
      <c r="H15" s="17"/>
      <c r="I15" s="132"/>
    </row>
    <row r="16" spans="1:10" s="10" customFormat="1" ht="20.100000000000001" customHeight="1">
      <c r="A16" s="130">
        <v>11</v>
      </c>
      <c r="B16" s="32"/>
      <c r="C16" s="21"/>
      <c r="D16" s="31"/>
      <c r="E16" s="24"/>
      <c r="F16" s="27"/>
      <c r="G16" s="28"/>
      <c r="H16" s="17"/>
      <c r="I16" s="132"/>
    </row>
    <row r="17" spans="1:9" s="10" customFormat="1" ht="20.100000000000001" customHeight="1">
      <c r="A17" s="130">
        <v>12</v>
      </c>
      <c r="B17" s="32"/>
      <c r="C17" s="21"/>
      <c r="D17" s="28"/>
      <c r="E17" s="24"/>
      <c r="F17" s="28"/>
      <c r="G17" s="28"/>
      <c r="H17" s="17"/>
      <c r="I17" s="132"/>
    </row>
    <row r="18" spans="1:9" s="10" customFormat="1" ht="20.100000000000001" customHeight="1">
      <c r="A18" s="130">
        <v>13</v>
      </c>
      <c r="B18" s="32"/>
      <c r="C18" s="21"/>
      <c r="D18" s="28"/>
      <c r="E18" s="24"/>
      <c r="F18" s="28"/>
      <c r="G18" s="28"/>
      <c r="H18" s="17"/>
      <c r="I18" s="132"/>
    </row>
    <row r="19" spans="1:9" s="10" customFormat="1" ht="20.100000000000001" customHeight="1">
      <c r="A19" s="130">
        <v>14</v>
      </c>
      <c r="B19" s="32"/>
      <c r="C19" s="21"/>
      <c r="D19" s="28"/>
      <c r="E19" s="24"/>
      <c r="F19" s="28"/>
      <c r="G19" s="28"/>
      <c r="H19" s="17"/>
      <c r="I19" s="132"/>
    </row>
    <row r="20" spans="1:9" s="10" customFormat="1" ht="20.100000000000001" customHeight="1">
      <c r="A20" s="130">
        <v>15</v>
      </c>
      <c r="B20" s="32"/>
      <c r="C20" s="21"/>
      <c r="D20" s="31"/>
      <c r="E20" s="24"/>
      <c r="F20" s="27"/>
      <c r="G20" s="28"/>
      <c r="H20" s="17"/>
      <c r="I20" s="132"/>
    </row>
    <row r="21" spans="1:9" s="10" customFormat="1" ht="20.100000000000001" customHeight="1">
      <c r="A21" s="130">
        <v>16</v>
      </c>
      <c r="B21" s="32"/>
      <c r="C21" s="21"/>
      <c r="D21" s="31"/>
      <c r="E21" s="24"/>
      <c r="F21" s="28"/>
      <c r="G21" s="28"/>
      <c r="H21" s="17"/>
      <c r="I21" s="132"/>
    </row>
    <row r="22" spans="1:9" s="10" customFormat="1" ht="20.100000000000001" customHeight="1">
      <c r="A22" s="130">
        <v>17</v>
      </c>
      <c r="B22" s="32"/>
      <c r="C22" s="21"/>
      <c r="D22" s="28"/>
      <c r="E22" s="24"/>
      <c r="F22" s="28"/>
      <c r="G22" s="28"/>
      <c r="H22" s="17"/>
      <c r="I22" s="132"/>
    </row>
    <row r="23" spans="1:9" s="10" customFormat="1" ht="20.100000000000001" customHeight="1">
      <c r="A23" s="130">
        <v>18</v>
      </c>
      <c r="B23" s="48"/>
      <c r="C23" s="20"/>
      <c r="D23" s="31"/>
      <c r="E23" s="23"/>
      <c r="F23" s="26"/>
      <c r="G23" s="28"/>
      <c r="H23" s="17"/>
      <c r="I23" s="132"/>
    </row>
    <row r="24" spans="1:9" s="10" customFormat="1" ht="20.100000000000001" customHeight="1">
      <c r="A24" s="130">
        <v>19</v>
      </c>
      <c r="B24" s="32"/>
      <c r="C24" s="21"/>
      <c r="D24" s="28"/>
      <c r="E24" s="24"/>
      <c r="F24" s="28"/>
      <c r="G24" s="28"/>
      <c r="H24" s="17"/>
      <c r="I24" s="132"/>
    </row>
    <row r="25" spans="1:9" s="10" customFormat="1" ht="20.100000000000001" customHeight="1">
      <c r="A25" s="130">
        <v>20</v>
      </c>
      <c r="B25" s="32"/>
      <c r="C25" s="21"/>
      <c r="D25" s="28"/>
      <c r="E25" s="24"/>
      <c r="F25" s="28"/>
      <c r="G25" s="28"/>
      <c r="H25" s="17"/>
      <c r="I25" s="132"/>
    </row>
    <row r="26" spans="1:9" s="10" customFormat="1" ht="20.100000000000001" customHeight="1">
      <c r="A26" s="130">
        <v>21</v>
      </c>
      <c r="B26" s="32"/>
      <c r="C26" s="21"/>
      <c r="D26" s="28"/>
      <c r="E26" s="24"/>
      <c r="F26" s="28"/>
      <c r="G26" s="28"/>
      <c r="H26" s="17"/>
      <c r="I26" s="132"/>
    </row>
    <row r="27" spans="1:9" s="10" customFormat="1" ht="20.100000000000001" customHeight="1">
      <c r="A27" s="130">
        <v>22</v>
      </c>
      <c r="B27" s="32"/>
      <c r="C27" s="21"/>
      <c r="D27" s="28"/>
      <c r="E27" s="24"/>
      <c r="F27" s="28"/>
      <c r="G27" s="28"/>
      <c r="H27" s="17"/>
      <c r="I27" s="132"/>
    </row>
    <row r="28" spans="1:9" s="10" customFormat="1" ht="20.100000000000001" customHeight="1">
      <c r="A28" s="130">
        <v>23</v>
      </c>
      <c r="B28" s="32"/>
      <c r="C28" s="21"/>
      <c r="D28" s="28"/>
      <c r="E28" s="24"/>
      <c r="F28" s="28"/>
      <c r="G28" s="28"/>
      <c r="H28" s="17"/>
      <c r="I28" s="132"/>
    </row>
    <row r="29" spans="1:9" s="10" customFormat="1" ht="20.100000000000001" customHeight="1">
      <c r="A29" s="130">
        <v>24</v>
      </c>
      <c r="B29" s="32"/>
      <c r="C29" s="21"/>
      <c r="D29" s="28"/>
      <c r="E29" s="24"/>
      <c r="F29" s="28"/>
      <c r="G29" s="28"/>
      <c r="H29" s="17"/>
      <c r="I29" s="132"/>
    </row>
    <row r="30" spans="1:9" s="10" customFormat="1" ht="20.100000000000001" customHeight="1">
      <c r="A30" s="130">
        <v>25</v>
      </c>
      <c r="B30" s="32"/>
      <c r="C30" s="21"/>
      <c r="D30" s="31"/>
      <c r="E30" s="24"/>
      <c r="F30" s="28"/>
      <c r="G30" s="28"/>
      <c r="H30" s="17"/>
      <c r="I30" s="132"/>
    </row>
    <row r="31" spans="1:9" s="10" customFormat="1" ht="20.100000000000001" customHeight="1">
      <c r="A31" s="130">
        <v>26</v>
      </c>
      <c r="B31" s="32"/>
      <c r="C31" s="21"/>
      <c r="D31" s="28"/>
      <c r="E31" s="24"/>
      <c r="F31" s="28"/>
      <c r="G31" s="28"/>
      <c r="H31" s="17"/>
      <c r="I31" s="132"/>
    </row>
    <row r="32" spans="1:9" s="10" customFormat="1" ht="20.100000000000001" customHeight="1">
      <c r="A32" s="130">
        <v>27</v>
      </c>
      <c r="B32" s="32"/>
      <c r="C32" s="21"/>
      <c r="D32" s="28"/>
      <c r="E32" s="24"/>
      <c r="F32" s="28"/>
      <c r="G32" s="28"/>
      <c r="H32" s="17"/>
      <c r="I32" s="132"/>
    </row>
    <row r="33" spans="1:9" s="10" customFormat="1" ht="20.100000000000001" customHeight="1">
      <c r="A33" s="130">
        <v>28</v>
      </c>
      <c r="B33" s="32"/>
      <c r="C33" s="21"/>
      <c r="D33" s="28"/>
      <c r="E33" s="24"/>
      <c r="F33" s="27"/>
      <c r="G33" s="28"/>
      <c r="H33" s="17"/>
      <c r="I33" s="132"/>
    </row>
    <row r="34" spans="1:9" s="10" customFormat="1" ht="20.100000000000001" customHeight="1">
      <c r="A34" s="130">
        <v>29</v>
      </c>
      <c r="B34" s="32"/>
      <c r="C34" s="21"/>
      <c r="D34" s="28"/>
      <c r="E34" s="24"/>
      <c r="F34" s="27"/>
      <c r="G34" s="28"/>
      <c r="H34" s="17"/>
      <c r="I34" s="132"/>
    </row>
    <row r="35" spans="1:9" s="10" customFormat="1" ht="20.100000000000001" customHeight="1">
      <c r="A35" s="130">
        <v>30</v>
      </c>
      <c r="B35" s="32"/>
      <c r="C35" s="21"/>
      <c r="D35" s="28"/>
      <c r="E35" s="24"/>
      <c r="F35" s="27"/>
      <c r="G35" s="28"/>
      <c r="H35" s="17"/>
      <c r="I35" s="132"/>
    </row>
    <row r="36" spans="1:9" s="10" customFormat="1" ht="20.100000000000001" customHeight="1">
      <c r="A36" s="130">
        <v>31</v>
      </c>
      <c r="B36" s="32"/>
      <c r="C36" s="21"/>
      <c r="D36" s="28"/>
      <c r="E36" s="24"/>
      <c r="F36" s="27"/>
      <c r="G36" s="28"/>
      <c r="H36" s="17"/>
      <c r="I36" s="132"/>
    </row>
    <row r="37" spans="1:9" s="10" customFormat="1" ht="20.100000000000001" customHeight="1">
      <c r="A37" s="130">
        <v>32</v>
      </c>
      <c r="B37" s="32"/>
      <c r="C37" s="21"/>
      <c r="D37" s="17"/>
      <c r="E37" s="17"/>
      <c r="F37" s="17"/>
      <c r="G37" s="28"/>
      <c r="H37" s="17"/>
      <c r="I37" s="132"/>
    </row>
    <row r="38" spans="1:9" s="10" customFormat="1" ht="20.100000000000001" customHeight="1">
      <c r="A38" s="130">
        <v>33</v>
      </c>
      <c r="B38" s="32"/>
      <c r="C38" s="21"/>
      <c r="D38" s="17"/>
      <c r="E38" s="17"/>
      <c r="F38" s="17"/>
      <c r="G38" s="28"/>
      <c r="H38" s="17"/>
      <c r="I38" s="132"/>
    </row>
    <row r="39" spans="1:9" s="10" customFormat="1" ht="20.100000000000001" customHeight="1">
      <c r="A39" s="130">
        <v>34</v>
      </c>
      <c r="B39" s="32"/>
      <c r="C39" s="21"/>
      <c r="D39" s="17"/>
      <c r="E39" s="17"/>
      <c r="F39" s="17"/>
      <c r="G39" s="28"/>
      <c r="H39" s="17"/>
      <c r="I39" s="132"/>
    </row>
    <row r="40" spans="1:9" s="10" customFormat="1" ht="20.100000000000001" customHeight="1">
      <c r="A40" s="130">
        <v>35</v>
      </c>
      <c r="B40" s="32"/>
      <c r="C40" s="21"/>
      <c r="D40" s="17"/>
      <c r="E40" s="17"/>
      <c r="F40" s="17"/>
      <c r="G40" s="28"/>
      <c r="H40" s="17"/>
      <c r="I40" s="132"/>
    </row>
    <row r="41" spans="1:9" s="10" customFormat="1" ht="20.100000000000001" customHeight="1">
      <c r="A41" s="130">
        <v>36</v>
      </c>
      <c r="B41" s="32"/>
      <c r="C41" s="15"/>
      <c r="D41" s="17"/>
      <c r="E41" s="17"/>
      <c r="F41" s="17"/>
      <c r="G41" s="28"/>
      <c r="H41" s="17"/>
      <c r="I41" s="132"/>
    </row>
    <row r="42" spans="1:9" s="10" customFormat="1" ht="20.100000000000001" customHeight="1">
      <c r="A42" s="130">
        <v>37</v>
      </c>
      <c r="B42" s="32"/>
      <c r="C42" s="15"/>
      <c r="D42" s="17"/>
      <c r="E42" s="17"/>
      <c r="F42" s="36"/>
      <c r="G42" s="28"/>
      <c r="H42" s="17"/>
      <c r="I42" s="132"/>
    </row>
    <row r="43" spans="1:9" s="10" customFormat="1" ht="20.100000000000001" customHeight="1">
      <c r="A43" s="130">
        <v>38</v>
      </c>
      <c r="B43" s="45"/>
      <c r="C43" s="37"/>
      <c r="D43" s="38"/>
      <c r="E43" s="39"/>
      <c r="F43" s="39"/>
      <c r="G43" s="28"/>
      <c r="H43" s="17"/>
      <c r="I43" s="132"/>
    </row>
    <row r="44" spans="1:9" s="10" customFormat="1" ht="20.100000000000001" customHeight="1">
      <c r="A44" s="130">
        <v>39</v>
      </c>
      <c r="B44" s="45"/>
      <c r="C44" s="37"/>
      <c r="D44" s="38"/>
      <c r="E44" s="39"/>
      <c r="F44" s="39"/>
      <c r="G44" s="28"/>
      <c r="H44" s="17"/>
      <c r="I44" s="132"/>
    </row>
    <row r="45" spans="1:9" s="10" customFormat="1" ht="20.100000000000001" customHeight="1">
      <c r="A45" s="130">
        <v>40</v>
      </c>
      <c r="B45" s="45"/>
      <c r="C45" s="37"/>
      <c r="D45" s="38"/>
      <c r="E45" s="39"/>
      <c r="F45" s="39"/>
      <c r="G45" s="28"/>
      <c r="H45" s="17"/>
      <c r="I45" s="132"/>
    </row>
    <row r="46" spans="1:9" s="10" customFormat="1" ht="20.100000000000001" customHeight="1">
      <c r="A46" s="130">
        <v>41</v>
      </c>
      <c r="B46" s="45"/>
      <c r="C46" s="37"/>
      <c r="D46" s="38"/>
      <c r="E46" s="39"/>
      <c r="F46" s="39"/>
      <c r="G46" s="40"/>
      <c r="H46" s="17"/>
      <c r="I46" s="132"/>
    </row>
    <row r="47" spans="1:9" s="10" customFormat="1" ht="20.100000000000001" customHeight="1">
      <c r="A47" s="130">
        <v>42</v>
      </c>
      <c r="B47" s="45"/>
      <c r="C47" s="37"/>
      <c r="D47" s="38"/>
      <c r="E47" s="39"/>
      <c r="F47" s="39"/>
      <c r="G47" s="40"/>
      <c r="H47" s="17"/>
      <c r="I47" s="132"/>
    </row>
    <row r="48" spans="1:9" s="10" customFormat="1" ht="20.100000000000001" customHeight="1">
      <c r="A48" s="130">
        <v>43</v>
      </c>
      <c r="B48" s="45"/>
      <c r="C48" s="37"/>
      <c r="D48" s="38"/>
      <c r="E48" s="39"/>
      <c r="F48" s="39"/>
      <c r="G48" s="40"/>
      <c r="H48" s="17"/>
      <c r="I48" s="132"/>
    </row>
    <row r="49" spans="1:9" s="10" customFormat="1" ht="20.100000000000001" customHeight="1">
      <c r="A49" s="130">
        <v>44</v>
      </c>
      <c r="B49" s="45"/>
      <c r="C49" s="37"/>
      <c r="D49" s="38"/>
      <c r="E49" s="39"/>
      <c r="F49" s="39"/>
      <c r="G49" s="40"/>
      <c r="H49" s="17"/>
      <c r="I49" s="132"/>
    </row>
    <row r="50" spans="1:9" s="10" customFormat="1" ht="20.100000000000001" customHeight="1">
      <c r="A50" s="130">
        <v>45</v>
      </c>
      <c r="B50" s="45"/>
      <c r="C50" s="37"/>
      <c r="D50" s="38"/>
      <c r="E50" s="39"/>
      <c r="F50" s="39"/>
      <c r="G50" s="40"/>
      <c r="H50" s="17"/>
      <c r="I50" s="132"/>
    </row>
    <row r="51" spans="1:9" s="10" customFormat="1" ht="20.100000000000001" customHeight="1">
      <c r="A51" s="130">
        <v>46</v>
      </c>
      <c r="B51" s="45"/>
      <c r="C51" s="37"/>
      <c r="D51" s="38"/>
      <c r="E51" s="39"/>
      <c r="F51" s="39"/>
      <c r="G51" s="40"/>
      <c r="H51" s="17"/>
      <c r="I51" s="132"/>
    </row>
    <row r="52" spans="1:9" s="10" customFormat="1" ht="20.100000000000001" customHeight="1">
      <c r="A52" s="130">
        <v>47</v>
      </c>
      <c r="B52" s="45"/>
      <c r="C52" s="37"/>
      <c r="D52" s="38"/>
      <c r="E52" s="39"/>
      <c r="F52" s="39"/>
      <c r="G52" s="40"/>
      <c r="H52" s="17"/>
      <c r="I52" s="132"/>
    </row>
    <row r="53" spans="1:9" s="10" customFormat="1" ht="20.100000000000001" customHeight="1">
      <c r="A53" s="130">
        <v>48</v>
      </c>
      <c r="B53" s="45"/>
      <c r="C53" s="37"/>
      <c r="D53" s="38"/>
      <c r="E53" s="39"/>
      <c r="F53" s="39"/>
      <c r="G53" s="40"/>
      <c r="H53" s="17"/>
      <c r="I53" s="132"/>
    </row>
    <row r="54" spans="1:9" s="10" customFormat="1" ht="20.100000000000001" customHeight="1">
      <c r="A54" s="130">
        <v>49</v>
      </c>
      <c r="B54" s="45"/>
      <c r="C54" s="37"/>
      <c r="D54" s="38"/>
      <c r="E54" s="39"/>
      <c r="F54" s="39"/>
      <c r="G54" s="40"/>
      <c r="H54" s="17"/>
      <c r="I54" s="132"/>
    </row>
    <row r="55" spans="1:9" s="10" customFormat="1" ht="20.100000000000001" customHeight="1">
      <c r="A55" s="130">
        <v>50</v>
      </c>
      <c r="B55" s="45"/>
      <c r="C55" s="37"/>
      <c r="D55" s="38"/>
      <c r="E55" s="39"/>
      <c r="F55" s="39"/>
      <c r="G55" s="40"/>
      <c r="H55" s="17"/>
      <c r="I55" s="132"/>
    </row>
    <row r="56" spans="1:9" s="10" customFormat="1" ht="20.100000000000001" customHeight="1">
      <c r="A56" s="130">
        <v>51</v>
      </c>
      <c r="B56" s="45"/>
      <c r="C56" s="37"/>
      <c r="D56" s="38"/>
      <c r="E56" s="39"/>
      <c r="F56" s="39"/>
      <c r="G56" s="40"/>
      <c r="H56" s="17"/>
      <c r="I56" s="132"/>
    </row>
    <row r="57" spans="1:9" s="10" customFormat="1" ht="20.100000000000001" customHeight="1">
      <c r="A57" s="130">
        <v>52</v>
      </c>
      <c r="B57" s="45"/>
      <c r="C57" s="37"/>
      <c r="D57" s="38"/>
      <c r="E57" s="39"/>
      <c r="F57" s="39"/>
      <c r="G57" s="40"/>
      <c r="H57" s="17"/>
      <c r="I57" s="132"/>
    </row>
    <row r="58" spans="1:9" s="10" customFormat="1" ht="20.100000000000001" customHeight="1">
      <c r="A58" s="130">
        <v>53</v>
      </c>
      <c r="B58" s="45"/>
      <c r="C58" s="37"/>
      <c r="D58" s="38"/>
      <c r="E58" s="39"/>
      <c r="F58" s="39"/>
      <c r="G58" s="40"/>
      <c r="H58" s="17"/>
      <c r="I58" s="132"/>
    </row>
    <row r="59" spans="1:9" s="10" customFormat="1" ht="20.100000000000001" customHeight="1">
      <c r="A59" s="130">
        <v>54</v>
      </c>
      <c r="B59" s="45"/>
      <c r="C59" s="37"/>
      <c r="D59" s="38"/>
      <c r="E59" s="39"/>
      <c r="F59" s="39"/>
      <c r="G59" s="40"/>
      <c r="H59" s="17"/>
      <c r="I59" s="132"/>
    </row>
    <row r="60" spans="1:9" s="10" customFormat="1" ht="20.100000000000001" customHeight="1">
      <c r="A60" s="130">
        <v>55</v>
      </c>
      <c r="B60" s="45"/>
      <c r="C60" s="37"/>
      <c r="D60" s="38"/>
      <c r="E60" s="39"/>
      <c r="F60" s="39"/>
      <c r="G60" s="40"/>
      <c r="H60" s="17"/>
      <c r="I60" s="132"/>
    </row>
    <row r="61" spans="1:9" s="10" customFormat="1" ht="20.100000000000001" customHeight="1">
      <c r="A61" s="130">
        <v>56</v>
      </c>
      <c r="B61" s="32"/>
      <c r="C61" s="15"/>
      <c r="D61" s="17"/>
      <c r="E61" s="17"/>
      <c r="F61" s="17"/>
      <c r="G61" s="40"/>
      <c r="H61" s="17"/>
      <c r="I61" s="132"/>
    </row>
    <row r="62" spans="1:9" s="10" customFormat="1" ht="20.100000000000001" customHeight="1">
      <c r="A62" s="130">
        <v>57</v>
      </c>
      <c r="B62" s="32"/>
      <c r="C62" s="15"/>
      <c r="D62" s="17"/>
      <c r="E62" s="17"/>
      <c r="F62" s="17"/>
      <c r="G62" s="40"/>
      <c r="H62" s="17"/>
      <c r="I62" s="132"/>
    </row>
    <row r="63" spans="1:9" s="10" customFormat="1" ht="20.100000000000001" customHeight="1">
      <c r="A63" s="130">
        <v>58</v>
      </c>
      <c r="B63" s="32"/>
      <c r="C63" s="15"/>
      <c r="D63" s="17"/>
      <c r="E63" s="17"/>
      <c r="F63" s="17"/>
      <c r="G63" s="40"/>
      <c r="H63" s="17"/>
      <c r="I63" s="132"/>
    </row>
    <row r="64" spans="1:9" s="10" customFormat="1" ht="20.100000000000001" customHeight="1">
      <c r="A64" s="130">
        <v>59</v>
      </c>
      <c r="B64" s="45"/>
      <c r="C64" s="37"/>
      <c r="D64" s="38"/>
      <c r="E64" s="39"/>
      <c r="F64" s="39"/>
      <c r="G64" s="40"/>
      <c r="H64" s="17"/>
      <c r="I64" s="132"/>
    </row>
    <row r="65" spans="1:9" s="10" customFormat="1" ht="20.100000000000001" customHeight="1">
      <c r="A65" s="130">
        <v>60</v>
      </c>
      <c r="B65" s="45"/>
      <c r="C65" s="37"/>
      <c r="D65" s="38"/>
      <c r="E65" s="39"/>
      <c r="F65" s="39"/>
      <c r="G65" s="40"/>
      <c r="H65" s="17"/>
      <c r="I65" s="132"/>
    </row>
    <row r="66" spans="1:9" s="10" customFormat="1" ht="20.100000000000001" customHeight="1">
      <c r="A66" s="130">
        <v>61</v>
      </c>
      <c r="B66" s="45"/>
      <c r="C66" s="37"/>
      <c r="D66" s="38"/>
      <c r="E66" s="39"/>
      <c r="F66" s="39"/>
      <c r="G66" s="40"/>
      <c r="H66" s="17"/>
      <c r="I66" s="132"/>
    </row>
    <row r="67" spans="1:9" s="10" customFormat="1" ht="20.100000000000001" customHeight="1">
      <c r="A67" s="130">
        <v>62</v>
      </c>
      <c r="B67" s="45"/>
      <c r="C67" s="37"/>
      <c r="D67" s="38"/>
      <c r="E67" s="39"/>
      <c r="F67" s="39"/>
      <c r="G67" s="40"/>
      <c r="H67" s="17"/>
      <c r="I67" s="132"/>
    </row>
    <row r="68" spans="1:9" s="10" customFormat="1" ht="20.100000000000001" customHeight="1">
      <c r="A68" s="130">
        <v>63</v>
      </c>
      <c r="B68" s="45"/>
      <c r="C68" s="37"/>
      <c r="D68" s="38"/>
      <c r="E68" s="39"/>
      <c r="F68" s="39"/>
      <c r="G68" s="40"/>
      <c r="H68" s="17"/>
      <c r="I68" s="132"/>
    </row>
    <row r="69" spans="1:9" s="10" customFormat="1" ht="15" customHeight="1">
      <c r="A69" s="130">
        <v>64</v>
      </c>
      <c r="B69" s="45"/>
      <c r="C69" s="37"/>
      <c r="D69" s="38"/>
      <c r="E69" s="39"/>
      <c r="F69" s="39"/>
      <c r="G69" s="40"/>
      <c r="H69" s="17"/>
      <c r="I69" s="132"/>
    </row>
    <row r="70" spans="1:9" s="10" customFormat="1" ht="15" customHeight="1">
      <c r="A70" s="130">
        <v>65</v>
      </c>
      <c r="B70" s="45"/>
      <c r="C70" s="37"/>
      <c r="D70" s="38"/>
      <c r="E70" s="39"/>
      <c r="F70" s="39"/>
      <c r="G70" s="40"/>
      <c r="H70" s="17"/>
      <c r="I70" s="132"/>
    </row>
    <row r="71" spans="1:9" s="10" customFormat="1" ht="15" customHeight="1">
      <c r="A71" s="130">
        <v>66</v>
      </c>
      <c r="B71" s="45"/>
      <c r="C71" s="37"/>
      <c r="D71" s="38"/>
      <c r="E71" s="39"/>
      <c r="F71" s="39"/>
      <c r="G71" s="40"/>
      <c r="H71" s="17"/>
      <c r="I71" s="132"/>
    </row>
    <row r="72" spans="1:9" s="10" customFormat="1" ht="15" customHeight="1">
      <c r="A72" s="130">
        <v>67</v>
      </c>
      <c r="B72" s="45"/>
      <c r="C72" s="37"/>
      <c r="D72" s="38"/>
      <c r="E72" s="39"/>
      <c r="F72" s="39"/>
      <c r="G72" s="40"/>
      <c r="H72" s="17"/>
      <c r="I72" s="132"/>
    </row>
    <row r="73" spans="1:9" s="10" customFormat="1" ht="15" customHeight="1">
      <c r="A73" s="130">
        <v>68</v>
      </c>
      <c r="B73" s="45"/>
      <c r="C73" s="37"/>
      <c r="D73" s="38"/>
      <c r="E73" s="39"/>
      <c r="F73" s="39"/>
      <c r="G73" s="40"/>
      <c r="H73" s="17"/>
      <c r="I73" s="132"/>
    </row>
    <row r="74" spans="1:9" s="10" customFormat="1" ht="15" customHeight="1">
      <c r="A74" s="130">
        <v>69</v>
      </c>
      <c r="B74" s="45"/>
      <c r="C74" s="37"/>
      <c r="D74" s="38"/>
      <c r="E74" s="39"/>
      <c r="F74" s="39"/>
      <c r="G74" s="40"/>
      <c r="H74" s="17"/>
      <c r="I74" s="132"/>
    </row>
    <row r="75" spans="1:9" s="10" customFormat="1" ht="15" customHeight="1">
      <c r="A75" s="130">
        <v>70</v>
      </c>
      <c r="B75" s="45"/>
      <c r="C75" s="37"/>
      <c r="D75" s="38"/>
      <c r="E75" s="39"/>
      <c r="F75" s="39"/>
      <c r="G75" s="40"/>
      <c r="H75" s="17"/>
      <c r="I75" s="132"/>
    </row>
    <row r="76" spans="1:9" s="10" customFormat="1" ht="15" customHeight="1">
      <c r="A76" s="130">
        <v>71</v>
      </c>
      <c r="B76" s="45"/>
      <c r="C76" s="37"/>
      <c r="D76" s="38"/>
      <c r="E76" s="39"/>
      <c r="F76" s="39"/>
      <c r="G76" s="40"/>
      <c r="H76" s="17"/>
      <c r="I76" s="132"/>
    </row>
    <row r="77" spans="1:9" s="10" customFormat="1" ht="15" customHeight="1">
      <c r="A77" s="130">
        <v>72</v>
      </c>
      <c r="B77" s="45"/>
      <c r="C77" s="37"/>
      <c r="D77" s="38"/>
      <c r="E77" s="39"/>
      <c r="F77" s="39"/>
      <c r="G77" s="40"/>
      <c r="H77" s="17"/>
      <c r="I77" s="132"/>
    </row>
    <row r="78" spans="1:9" s="10" customFormat="1" ht="15" customHeight="1">
      <c r="A78" s="130">
        <v>73</v>
      </c>
      <c r="B78" s="45"/>
      <c r="C78" s="37"/>
      <c r="D78" s="38"/>
      <c r="E78" s="39"/>
      <c r="F78" s="39"/>
      <c r="G78" s="40"/>
      <c r="H78" s="17"/>
      <c r="I78" s="132"/>
    </row>
    <row r="79" spans="1:9" s="10" customFormat="1" ht="15" customHeight="1">
      <c r="A79" s="130">
        <v>74</v>
      </c>
      <c r="B79" s="45"/>
      <c r="C79" s="37"/>
      <c r="D79" s="38"/>
      <c r="E79" s="39"/>
      <c r="F79" s="39"/>
      <c r="G79" s="40"/>
      <c r="H79" s="17"/>
      <c r="I79" s="132"/>
    </row>
    <row r="80" spans="1:9" s="10" customFormat="1" ht="15" customHeight="1">
      <c r="A80" s="130">
        <v>75</v>
      </c>
      <c r="B80" s="45"/>
      <c r="C80" s="37"/>
      <c r="D80" s="38"/>
      <c r="E80" s="39"/>
      <c r="F80" s="39"/>
      <c r="G80" s="40"/>
      <c r="H80" s="17"/>
      <c r="I80" s="132"/>
    </row>
    <row r="81" spans="1:9" s="10" customFormat="1" ht="15" customHeight="1">
      <c r="A81" s="130">
        <v>76</v>
      </c>
      <c r="B81" s="45"/>
      <c r="C81" s="37"/>
      <c r="D81" s="38"/>
      <c r="E81" s="39"/>
      <c r="F81" s="39"/>
      <c r="G81" s="40"/>
      <c r="H81" s="17"/>
      <c r="I81" s="132"/>
    </row>
    <row r="82" spans="1:9" s="10" customFormat="1" ht="15" customHeight="1">
      <c r="A82" s="130">
        <v>77</v>
      </c>
      <c r="B82" s="45"/>
      <c r="C82" s="37"/>
      <c r="D82" s="38"/>
      <c r="E82" s="39"/>
      <c r="F82" s="39"/>
      <c r="G82" s="40"/>
      <c r="H82" s="17"/>
      <c r="I82" s="132"/>
    </row>
    <row r="83" spans="1:9" s="10" customFormat="1" ht="15" customHeight="1">
      <c r="A83" s="130">
        <v>78</v>
      </c>
      <c r="B83" s="45"/>
      <c r="C83" s="37"/>
      <c r="D83" s="38"/>
      <c r="E83" s="39"/>
      <c r="F83" s="39"/>
      <c r="G83" s="40"/>
      <c r="H83" s="17"/>
      <c r="I83" s="132"/>
    </row>
    <row r="84" spans="1:9" s="10" customFormat="1" ht="15" customHeight="1">
      <c r="A84" s="130">
        <v>79</v>
      </c>
      <c r="B84" s="45"/>
      <c r="C84" s="37"/>
      <c r="D84" s="38"/>
      <c r="E84" s="39"/>
      <c r="F84" s="39"/>
      <c r="G84" s="40"/>
      <c r="H84" s="17"/>
      <c r="I84" s="132"/>
    </row>
    <row r="85" spans="1:9" s="10" customFormat="1" ht="15" customHeight="1">
      <c r="A85" s="130">
        <v>80</v>
      </c>
      <c r="B85" s="45"/>
      <c r="C85" s="37"/>
      <c r="D85" s="39"/>
      <c r="E85" s="39"/>
      <c r="F85" s="39"/>
      <c r="G85" s="40"/>
      <c r="H85" s="17"/>
      <c r="I85" s="132"/>
    </row>
    <row r="86" spans="1:9" s="10" customFormat="1" ht="15" customHeight="1">
      <c r="A86" s="130">
        <v>81</v>
      </c>
      <c r="B86" s="45"/>
      <c r="C86" s="37"/>
      <c r="D86" s="39"/>
      <c r="E86" s="39"/>
      <c r="F86" s="39"/>
      <c r="G86" s="40"/>
      <c r="H86" s="17"/>
      <c r="I86" s="132"/>
    </row>
    <row r="87" spans="1:9" s="10" customFormat="1" ht="15" customHeight="1">
      <c r="A87" s="130">
        <v>82</v>
      </c>
      <c r="B87" s="45"/>
      <c r="C87" s="37"/>
      <c r="D87" s="39"/>
      <c r="E87" s="39"/>
      <c r="F87" s="39"/>
      <c r="G87" s="40"/>
      <c r="H87" s="17"/>
      <c r="I87" s="132"/>
    </row>
    <row r="88" spans="1:9" s="10" customFormat="1" ht="15" customHeight="1">
      <c r="A88" s="130">
        <v>83</v>
      </c>
      <c r="B88" s="45"/>
      <c r="C88" s="37"/>
      <c r="D88" s="39"/>
      <c r="E88" s="39"/>
      <c r="F88" s="39"/>
      <c r="G88" s="40"/>
      <c r="H88" s="17"/>
      <c r="I88" s="132"/>
    </row>
    <row r="89" spans="1:9" s="10" customFormat="1" ht="15" customHeight="1">
      <c r="A89" s="130">
        <v>84</v>
      </c>
      <c r="B89" s="45"/>
      <c r="C89" s="37"/>
      <c r="D89" s="39"/>
      <c r="E89" s="39"/>
      <c r="F89" s="39"/>
      <c r="G89" s="40"/>
      <c r="H89" s="17"/>
      <c r="I89" s="132"/>
    </row>
    <row r="90" spans="1:9" s="10" customFormat="1" ht="15" customHeight="1">
      <c r="A90" s="130">
        <v>85</v>
      </c>
      <c r="B90" s="45"/>
      <c r="C90" s="37"/>
      <c r="D90" s="39"/>
      <c r="E90" s="39"/>
      <c r="F90" s="39"/>
      <c r="G90" s="40"/>
      <c r="H90" s="17"/>
      <c r="I90" s="132"/>
    </row>
    <row r="91" spans="1:9" s="10" customFormat="1" ht="15" customHeight="1">
      <c r="A91" s="130">
        <v>86</v>
      </c>
      <c r="B91" s="45"/>
      <c r="C91" s="37"/>
      <c r="D91" s="39"/>
      <c r="E91" s="39"/>
      <c r="F91" s="39"/>
      <c r="G91" s="40"/>
      <c r="H91" s="17"/>
      <c r="I91" s="132"/>
    </row>
    <row r="92" spans="1:9" s="10" customFormat="1" ht="15" customHeight="1">
      <c r="A92" s="130">
        <v>87</v>
      </c>
      <c r="B92" s="45"/>
      <c r="C92" s="37"/>
      <c r="D92" s="39"/>
      <c r="E92" s="39"/>
      <c r="F92" s="39"/>
      <c r="G92" s="40"/>
      <c r="H92" s="17"/>
      <c r="I92" s="132"/>
    </row>
    <row r="93" spans="1:9" s="10" customFormat="1" ht="15" customHeight="1">
      <c r="A93" s="130">
        <v>88</v>
      </c>
      <c r="B93" s="45"/>
      <c r="C93" s="37"/>
      <c r="D93" s="39"/>
      <c r="E93" s="39"/>
      <c r="F93" s="39"/>
      <c r="G93" s="40"/>
      <c r="H93" s="17"/>
      <c r="I93" s="132"/>
    </row>
    <row r="94" spans="1:9" s="10" customFormat="1" ht="15" customHeight="1">
      <c r="A94" s="130">
        <v>89</v>
      </c>
      <c r="B94" s="45"/>
      <c r="C94" s="37"/>
      <c r="D94" s="39"/>
      <c r="E94" s="39"/>
      <c r="F94" s="39"/>
      <c r="G94" s="40"/>
      <c r="H94" s="17"/>
      <c r="I94" s="132"/>
    </row>
    <row r="95" spans="1:9" s="10" customFormat="1" ht="15" customHeight="1">
      <c r="A95" s="130">
        <v>90</v>
      </c>
      <c r="B95" s="45"/>
      <c r="C95" s="37"/>
      <c r="D95" s="39"/>
      <c r="E95" s="39"/>
      <c r="F95" s="39"/>
      <c r="G95" s="40"/>
      <c r="H95" s="17"/>
      <c r="I95" s="132"/>
    </row>
    <row r="96" spans="1:9" s="10" customFormat="1" ht="15" customHeight="1">
      <c r="A96" s="130">
        <v>91</v>
      </c>
      <c r="B96" s="45"/>
      <c r="C96" s="37"/>
      <c r="D96" s="39"/>
      <c r="E96" s="39"/>
      <c r="F96" s="39"/>
      <c r="G96" s="40"/>
      <c r="H96" s="17"/>
      <c r="I96" s="132"/>
    </row>
    <row r="97" spans="1:9" s="10" customFormat="1" ht="15" customHeight="1">
      <c r="A97" s="130">
        <v>92</v>
      </c>
      <c r="B97" s="45"/>
      <c r="C97" s="37"/>
      <c r="D97" s="39"/>
      <c r="E97" s="39"/>
      <c r="F97" s="39"/>
      <c r="G97" s="40"/>
      <c r="H97" s="17"/>
      <c r="I97" s="132"/>
    </row>
    <row r="98" spans="1:9" s="10" customFormat="1" ht="15" customHeight="1">
      <c r="A98" s="130">
        <v>93</v>
      </c>
      <c r="B98" s="45"/>
      <c r="C98" s="37"/>
      <c r="D98" s="39"/>
      <c r="E98" s="39"/>
      <c r="F98" s="39"/>
      <c r="G98" s="40"/>
      <c r="H98" s="17"/>
      <c r="I98" s="132"/>
    </row>
    <row r="99" spans="1:9" s="10" customFormat="1" ht="15" customHeight="1">
      <c r="A99" s="130">
        <v>94</v>
      </c>
      <c r="B99" s="45"/>
      <c r="C99" s="37"/>
      <c r="D99" s="39"/>
      <c r="E99" s="39"/>
      <c r="F99" s="39"/>
      <c r="G99" s="40"/>
      <c r="H99" s="17"/>
      <c r="I99" s="132"/>
    </row>
    <row r="100" spans="1:9" s="10" customFormat="1" ht="15" customHeight="1">
      <c r="A100" s="130">
        <v>95</v>
      </c>
      <c r="B100" s="45"/>
      <c r="C100" s="37"/>
      <c r="D100" s="39"/>
      <c r="E100" s="39"/>
      <c r="F100" s="39"/>
      <c r="G100" s="40"/>
      <c r="H100" s="17"/>
      <c r="I100" s="132"/>
    </row>
    <row r="101" spans="1:9" s="10" customFormat="1" ht="15" customHeight="1">
      <c r="A101" s="130">
        <v>96</v>
      </c>
      <c r="B101" s="32"/>
      <c r="C101" s="46"/>
      <c r="D101" s="17"/>
      <c r="E101" s="17"/>
      <c r="F101" s="17"/>
      <c r="G101" s="28"/>
      <c r="H101" s="17"/>
      <c r="I101" s="132"/>
    </row>
    <row r="102" spans="1:9" s="10" customFormat="1" ht="15" customHeight="1">
      <c r="A102" s="130">
        <v>97</v>
      </c>
      <c r="B102" s="32"/>
      <c r="C102" s="15"/>
      <c r="D102" s="17"/>
      <c r="E102" s="17"/>
      <c r="F102" s="17"/>
      <c r="G102" s="28"/>
      <c r="H102" s="17"/>
      <c r="I102" s="132"/>
    </row>
    <row r="103" spans="1:9" s="10" customFormat="1" ht="15" customHeight="1">
      <c r="A103" s="130">
        <v>98</v>
      </c>
      <c r="B103" s="32"/>
      <c r="C103" s="15"/>
      <c r="D103" s="17"/>
      <c r="E103" s="17"/>
      <c r="F103" s="17"/>
      <c r="G103" s="28"/>
      <c r="H103" s="17"/>
      <c r="I103" s="132"/>
    </row>
    <row r="104" spans="1:9" s="10" customFormat="1" ht="15" customHeight="1">
      <c r="A104" s="130">
        <v>99</v>
      </c>
      <c r="B104" s="32"/>
      <c r="C104" s="15"/>
      <c r="D104" s="17"/>
      <c r="E104" s="17"/>
      <c r="F104" s="17"/>
      <c r="G104" s="28"/>
      <c r="H104" s="17"/>
      <c r="I104" s="132"/>
    </row>
    <row r="105" spans="1:9" s="10" customFormat="1" ht="15" customHeight="1">
      <c r="A105" s="133">
        <v>100</v>
      </c>
      <c r="B105" s="134"/>
      <c r="C105" s="138"/>
      <c r="D105" s="135"/>
      <c r="E105" s="135"/>
      <c r="F105" s="135"/>
      <c r="G105" s="136"/>
      <c r="H105" s="135"/>
      <c r="I105" s="137"/>
    </row>
    <row r="106" spans="1:9" ht="20.25">
      <c r="B106" s="41"/>
      <c r="C106" s="42"/>
      <c r="D106" s="42"/>
      <c r="E106" s="42"/>
      <c r="F106" s="42"/>
      <c r="G106" s="42"/>
      <c r="H106" s="42"/>
      <c r="I106" s="42"/>
    </row>
  </sheetData>
  <autoFilter ref="B5:G105" xr:uid="{CE6C056B-1174-47E5-B58F-BD1F5280A530}"/>
  <mergeCells count="5">
    <mergeCell ref="A1:A5"/>
    <mergeCell ref="B1:I2"/>
    <mergeCell ref="H3:I3"/>
    <mergeCell ref="B3:B4"/>
    <mergeCell ref="C3:C4"/>
  </mergeCells>
  <dataValidations count="1">
    <dataValidation allowBlank="1" showErrorMessage="1" sqref="C5:D5" xr:uid="{675E07D5-9F84-49DC-A480-1776B51C88FB}"/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61FA7A61-D869-4AB4-85A7-EBD698C1543F}">
          <x14:formula1>
            <xm:f>DATA!$D$2:$D$17</xm:f>
          </x14:formula1>
          <xm:sqref>C6:C105</xm:sqref>
        </x14:dataValidation>
        <x14:dataValidation type="list" allowBlank="1" showInputMessage="1" showErrorMessage="1" xr:uid="{0DD31AC8-3A15-4DFC-9715-C734327819F6}">
          <x14:formula1>
            <xm:f>DATA!$C$2:$C$6</xm:f>
          </x14:formula1>
          <xm:sqref>G6:G105 F23</xm:sqref>
        </x14:dataValidation>
        <x14:dataValidation type="list" allowBlank="1" showInputMessage="1" showErrorMessage="1" xr:uid="{664CF37A-DA54-4C22-BFFF-3ABA2405EBCC}">
          <x14:formula1>
            <xm:f>DATA!$B$4:$B$10</xm:f>
          </x14:formula1>
          <xm:sqref>H4</xm:sqref>
        </x14:dataValidation>
        <x14:dataValidation type="list" allowBlank="1" showInputMessage="1" showErrorMessage="1" xr:uid="{5BF35EEF-09FB-4163-84CA-6D2E07458B72}">
          <x14:formula1>
            <xm:f>DATA!$B$2:$B$20</xm:f>
          </x14:formula1>
          <xm:sqref>I6:I7 D6:D105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49A66-DA43-4D02-B73D-E4EC629FB116}">
  <sheetPr codeName="Planilha15"/>
  <dimension ref="A1:L106"/>
  <sheetViews>
    <sheetView zoomScale="90" zoomScaleNormal="90" workbookViewId="0">
      <selection activeCell="B1" sqref="B1:I2"/>
    </sheetView>
  </sheetViews>
  <sheetFormatPr defaultRowHeight="15"/>
  <cols>
    <col min="1" max="1" width="4.42578125" style="49" customWidth="1"/>
    <col min="2" max="2" width="40.7109375" style="43" customWidth="1"/>
    <col min="3" max="3" width="55.7109375" style="44" customWidth="1"/>
    <col min="4" max="4" width="30.7109375" style="44" customWidth="1"/>
    <col min="5" max="5" width="20.7109375" style="44" customWidth="1"/>
    <col min="6" max="6" width="30.7109375" style="44" customWidth="1"/>
    <col min="7" max="7" width="20.7109375" style="44" customWidth="1"/>
    <col min="8" max="8" width="34.7109375" style="44" customWidth="1"/>
    <col min="9" max="9" width="19.7109375" style="44" customWidth="1"/>
    <col min="10" max="10" width="10.5703125" style="10" bestFit="1" customWidth="1"/>
    <col min="11" max="12" width="9.140625" style="10"/>
    <col min="13" max="16384" width="9.140625" style="8"/>
  </cols>
  <sheetData>
    <row r="1" spans="1:10" ht="15" customHeight="1">
      <c r="A1" s="128" t="s">
        <v>58</v>
      </c>
      <c r="B1" s="123" t="s">
        <v>80</v>
      </c>
      <c r="C1" s="101"/>
      <c r="D1" s="101"/>
      <c r="E1" s="101"/>
      <c r="F1" s="101"/>
      <c r="G1" s="101"/>
      <c r="H1" s="101"/>
      <c r="I1" s="102"/>
      <c r="J1" s="9"/>
    </row>
    <row r="2" spans="1:10" ht="33.75" customHeight="1">
      <c r="A2" s="129"/>
      <c r="B2" s="93"/>
      <c r="C2" s="94"/>
      <c r="D2" s="94"/>
      <c r="E2" s="94"/>
      <c r="F2" s="94"/>
      <c r="G2" s="94"/>
      <c r="H2" s="94"/>
      <c r="I2" s="104"/>
      <c r="J2" s="9"/>
    </row>
    <row r="3" spans="1:10" ht="42.75" customHeight="1">
      <c r="A3" s="129"/>
      <c r="B3" s="96" t="s">
        <v>25</v>
      </c>
      <c r="C3" s="98">
        <f>E3-E4-(SUMIFS(E6:E105,G6:G105,"Reserva") + SUMIFS(E6:E105,G6:G105,"Investimento"))</f>
        <v>0</v>
      </c>
      <c r="D3" s="35" t="s">
        <v>36</v>
      </c>
      <c r="E3" s="65">
        <f>SUMIF(($G$6:$G$105),"Receita",($E$6:$E$105))</f>
        <v>0</v>
      </c>
      <c r="F3" s="67" t="s">
        <v>38</v>
      </c>
      <c r="G3" s="34">
        <f>SUMIF(($G$6:$G$105),"Custo",($E$6:$E$105))</f>
        <v>0</v>
      </c>
      <c r="H3" s="95" t="s">
        <v>56</v>
      </c>
      <c r="I3" s="106"/>
    </row>
    <row r="4" spans="1:10" ht="31.5" customHeight="1">
      <c r="A4" s="129"/>
      <c r="B4" s="97"/>
      <c r="C4" s="99"/>
      <c r="D4" s="35" t="s">
        <v>37</v>
      </c>
      <c r="E4" s="65">
        <f>G3+G4</f>
        <v>0</v>
      </c>
      <c r="F4" s="67" t="s">
        <v>39</v>
      </c>
      <c r="G4" s="34">
        <f>SUMIF(($G$6:$G$105),"Gasto",($E$6:$E$105))</f>
        <v>0</v>
      </c>
      <c r="H4" s="66" t="s">
        <v>0</v>
      </c>
      <c r="I4" s="108">
        <f>SUMIF(D6:D105,H4,E6:E105)</f>
        <v>0</v>
      </c>
    </row>
    <row r="5" spans="1:10" ht="23.25" customHeight="1">
      <c r="A5" s="129"/>
      <c r="B5" s="18" t="s">
        <v>20</v>
      </c>
      <c r="C5" s="13" t="s">
        <v>15</v>
      </c>
      <c r="D5" s="13" t="s">
        <v>16</v>
      </c>
      <c r="E5" s="13" t="s">
        <v>17</v>
      </c>
      <c r="F5" s="13" t="s">
        <v>18</v>
      </c>
      <c r="G5" s="13" t="s">
        <v>19</v>
      </c>
      <c r="H5" s="14"/>
      <c r="I5" s="110"/>
    </row>
    <row r="6" spans="1:10" s="10" customFormat="1" ht="20.100000000000001" customHeight="1">
      <c r="A6" s="130">
        <v>1</v>
      </c>
      <c r="B6" s="47"/>
      <c r="C6" s="19"/>
      <c r="D6" s="29"/>
      <c r="E6" s="22"/>
      <c r="F6" s="25"/>
      <c r="G6" s="29"/>
      <c r="H6" s="33"/>
      <c r="I6" s="112"/>
      <c r="J6" s="11"/>
    </row>
    <row r="7" spans="1:10" s="10" customFormat="1" ht="20.100000000000001" customHeight="1">
      <c r="A7" s="130">
        <v>2</v>
      </c>
      <c r="B7" s="47"/>
      <c r="C7" s="19"/>
      <c r="D7" s="31"/>
      <c r="E7" s="22"/>
      <c r="F7" s="25"/>
      <c r="G7" s="30"/>
      <c r="H7" s="33"/>
      <c r="I7" s="112"/>
      <c r="J7" s="12"/>
    </row>
    <row r="8" spans="1:10" s="10" customFormat="1" ht="20.100000000000001" customHeight="1">
      <c r="A8" s="130">
        <v>3</v>
      </c>
      <c r="B8" s="48"/>
      <c r="C8" s="20"/>
      <c r="D8" s="31"/>
      <c r="E8" s="23"/>
      <c r="F8" s="26"/>
      <c r="G8" s="28"/>
      <c r="H8" s="17"/>
      <c r="I8" s="131"/>
      <c r="J8" s="12"/>
    </row>
    <row r="9" spans="1:10" s="10" customFormat="1" ht="20.100000000000001" customHeight="1">
      <c r="A9" s="130">
        <v>4</v>
      </c>
      <c r="B9" s="48"/>
      <c r="C9" s="20"/>
      <c r="D9" s="31"/>
      <c r="E9" s="23"/>
      <c r="F9" s="26"/>
      <c r="G9" s="28"/>
      <c r="H9" s="17"/>
      <c r="I9" s="131"/>
      <c r="J9" s="12"/>
    </row>
    <row r="10" spans="1:10" s="10" customFormat="1" ht="20.100000000000001" customHeight="1">
      <c r="A10" s="130">
        <v>5</v>
      </c>
      <c r="B10" s="48"/>
      <c r="C10" s="20"/>
      <c r="D10" s="31"/>
      <c r="E10" s="23"/>
      <c r="F10" s="26"/>
      <c r="G10" s="28"/>
      <c r="H10" s="17"/>
      <c r="I10" s="131"/>
      <c r="J10" s="12"/>
    </row>
    <row r="11" spans="1:10" s="10" customFormat="1" ht="20.100000000000001" customHeight="1">
      <c r="A11" s="130">
        <v>6</v>
      </c>
      <c r="B11" s="48"/>
      <c r="C11" s="20"/>
      <c r="D11" s="31"/>
      <c r="E11" s="23"/>
      <c r="F11" s="26"/>
      <c r="G11" s="28"/>
      <c r="H11" s="17"/>
      <c r="I11" s="131"/>
      <c r="J11" s="12"/>
    </row>
    <row r="12" spans="1:10" s="10" customFormat="1" ht="20.100000000000001" customHeight="1">
      <c r="A12" s="130">
        <v>7</v>
      </c>
      <c r="B12" s="48"/>
      <c r="C12" s="20"/>
      <c r="D12" s="28"/>
      <c r="E12" s="23"/>
      <c r="F12" s="26"/>
      <c r="G12" s="28"/>
      <c r="H12" s="17"/>
      <c r="I12" s="131"/>
      <c r="J12" s="12"/>
    </row>
    <row r="13" spans="1:10" s="10" customFormat="1" ht="20.100000000000001" customHeight="1">
      <c r="A13" s="130">
        <v>8</v>
      </c>
      <c r="B13" s="48"/>
      <c r="C13" s="20"/>
      <c r="D13" s="31"/>
      <c r="E13" s="23"/>
      <c r="F13" s="26"/>
      <c r="G13" s="28"/>
      <c r="H13" s="17"/>
      <c r="I13" s="132"/>
    </row>
    <row r="14" spans="1:10" s="10" customFormat="1" ht="20.100000000000001" customHeight="1">
      <c r="A14" s="130">
        <v>9</v>
      </c>
      <c r="B14" s="32"/>
      <c r="C14" s="20"/>
      <c r="D14" s="31"/>
      <c r="E14" s="24"/>
      <c r="F14" s="27"/>
      <c r="G14" s="28"/>
      <c r="H14" s="17"/>
      <c r="I14" s="132"/>
    </row>
    <row r="15" spans="1:10" s="10" customFormat="1" ht="20.100000000000001" customHeight="1">
      <c r="A15" s="130">
        <v>10</v>
      </c>
      <c r="B15" s="32"/>
      <c r="C15" s="21"/>
      <c r="D15" s="28"/>
      <c r="E15" s="23"/>
      <c r="F15" s="26"/>
      <c r="G15" s="28"/>
      <c r="H15" s="17"/>
      <c r="I15" s="132"/>
    </row>
    <row r="16" spans="1:10" s="10" customFormat="1" ht="20.100000000000001" customHeight="1">
      <c r="A16" s="130">
        <v>11</v>
      </c>
      <c r="B16" s="32"/>
      <c r="C16" s="21"/>
      <c r="D16" s="31"/>
      <c r="E16" s="23"/>
      <c r="F16" s="26"/>
      <c r="G16" s="28"/>
      <c r="H16" s="17"/>
      <c r="I16" s="132"/>
    </row>
    <row r="17" spans="1:9" s="10" customFormat="1" ht="20.100000000000001" customHeight="1">
      <c r="A17" s="130">
        <v>12</v>
      </c>
      <c r="B17" s="32"/>
      <c r="C17" s="21"/>
      <c r="D17" s="28"/>
      <c r="E17" s="23"/>
      <c r="F17" s="26"/>
      <c r="G17" s="28"/>
      <c r="H17" s="17"/>
      <c r="I17" s="132"/>
    </row>
    <row r="18" spans="1:9" s="10" customFormat="1" ht="20.100000000000001" customHeight="1">
      <c r="A18" s="130">
        <v>13</v>
      </c>
      <c r="B18" s="32"/>
      <c r="C18" s="21"/>
      <c r="D18" s="28"/>
      <c r="E18" s="24"/>
      <c r="F18" s="28"/>
      <c r="G18" s="28"/>
      <c r="H18" s="17"/>
      <c r="I18" s="132"/>
    </row>
    <row r="19" spans="1:9" s="10" customFormat="1" ht="20.100000000000001" customHeight="1">
      <c r="A19" s="130">
        <v>14</v>
      </c>
      <c r="B19" s="32"/>
      <c r="C19" s="21"/>
      <c r="D19" s="28"/>
      <c r="E19" s="24"/>
      <c r="F19" s="28"/>
      <c r="G19" s="28"/>
      <c r="H19" s="17"/>
      <c r="I19" s="132"/>
    </row>
    <row r="20" spans="1:9" s="10" customFormat="1" ht="20.100000000000001" customHeight="1">
      <c r="A20" s="130">
        <v>15</v>
      </c>
      <c r="B20" s="32"/>
      <c r="C20" s="21"/>
      <c r="D20" s="31"/>
      <c r="E20" s="24"/>
      <c r="F20" s="27"/>
      <c r="G20" s="28"/>
      <c r="H20" s="17"/>
      <c r="I20" s="132"/>
    </row>
    <row r="21" spans="1:9" s="10" customFormat="1" ht="20.100000000000001" customHeight="1">
      <c r="A21" s="130">
        <v>16</v>
      </c>
      <c r="B21" s="32"/>
      <c r="C21" s="21"/>
      <c r="D21" s="31"/>
      <c r="E21" s="24"/>
      <c r="F21" s="28"/>
      <c r="G21" s="28"/>
      <c r="H21" s="17"/>
      <c r="I21" s="132"/>
    </row>
    <row r="22" spans="1:9" s="10" customFormat="1" ht="20.100000000000001" customHeight="1">
      <c r="A22" s="130">
        <v>17</v>
      </c>
      <c r="B22" s="32"/>
      <c r="C22" s="21"/>
      <c r="D22" s="28"/>
      <c r="E22" s="24"/>
      <c r="F22" s="28"/>
      <c r="G22" s="28"/>
      <c r="H22" s="17"/>
      <c r="I22" s="132"/>
    </row>
    <row r="23" spans="1:9" s="10" customFormat="1" ht="20.100000000000001" customHeight="1">
      <c r="A23" s="130">
        <v>18</v>
      </c>
      <c r="B23" s="48"/>
      <c r="C23" s="20"/>
      <c r="D23" s="31"/>
      <c r="E23" s="23"/>
      <c r="F23" s="26"/>
      <c r="G23" s="28"/>
      <c r="H23" s="17"/>
      <c r="I23" s="132"/>
    </row>
    <row r="24" spans="1:9" s="10" customFormat="1" ht="20.100000000000001" customHeight="1">
      <c r="A24" s="130">
        <v>19</v>
      </c>
      <c r="B24" s="32"/>
      <c r="C24" s="21"/>
      <c r="D24" s="28"/>
      <c r="E24" s="24"/>
      <c r="F24" s="28"/>
      <c r="G24" s="28"/>
      <c r="H24" s="17"/>
      <c r="I24" s="132"/>
    </row>
    <row r="25" spans="1:9" s="10" customFormat="1" ht="20.100000000000001" customHeight="1">
      <c r="A25" s="130">
        <v>20</v>
      </c>
      <c r="B25" s="32"/>
      <c r="C25" s="21"/>
      <c r="D25" s="28"/>
      <c r="E25" s="24"/>
      <c r="F25" s="28"/>
      <c r="G25" s="28"/>
      <c r="H25" s="17"/>
      <c r="I25" s="132"/>
    </row>
    <row r="26" spans="1:9" s="10" customFormat="1" ht="20.100000000000001" customHeight="1">
      <c r="A26" s="130">
        <v>21</v>
      </c>
      <c r="B26" s="32"/>
      <c r="C26" s="21"/>
      <c r="D26" s="28"/>
      <c r="E26" s="24"/>
      <c r="F26" s="28"/>
      <c r="G26" s="28"/>
      <c r="H26" s="17"/>
      <c r="I26" s="132"/>
    </row>
    <row r="27" spans="1:9" s="10" customFormat="1" ht="20.100000000000001" customHeight="1">
      <c r="A27" s="130">
        <v>22</v>
      </c>
      <c r="B27" s="32"/>
      <c r="C27" s="21"/>
      <c r="D27" s="28"/>
      <c r="E27" s="24"/>
      <c r="F27" s="28"/>
      <c r="G27" s="28"/>
      <c r="H27" s="17"/>
      <c r="I27" s="132"/>
    </row>
    <row r="28" spans="1:9" s="10" customFormat="1" ht="20.100000000000001" customHeight="1">
      <c r="A28" s="130">
        <v>23</v>
      </c>
      <c r="B28" s="32"/>
      <c r="C28" s="21"/>
      <c r="D28" s="28"/>
      <c r="E28" s="24"/>
      <c r="F28" s="28"/>
      <c r="G28" s="28"/>
      <c r="H28" s="17"/>
      <c r="I28" s="132"/>
    </row>
    <row r="29" spans="1:9" s="10" customFormat="1" ht="20.100000000000001" customHeight="1">
      <c r="A29" s="130">
        <v>24</v>
      </c>
      <c r="B29" s="32"/>
      <c r="C29" s="21"/>
      <c r="D29" s="28"/>
      <c r="E29" s="24"/>
      <c r="F29" s="28"/>
      <c r="G29" s="28"/>
      <c r="H29" s="17"/>
      <c r="I29" s="132"/>
    </row>
    <row r="30" spans="1:9" s="10" customFormat="1" ht="20.100000000000001" customHeight="1">
      <c r="A30" s="130">
        <v>25</v>
      </c>
      <c r="B30" s="32"/>
      <c r="C30" s="21"/>
      <c r="D30" s="31"/>
      <c r="E30" s="24"/>
      <c r="F30" s="28"/>
      <c r="G30" s="28"/>
      <c r="H30" s="17"/>
      <c r="I30" s="132"/>
    </row>
    <row r="31" spans="1:9" s="10" customFormat="1" ht="20.100000000000001" customHeight="1">
      <c r="A31" s="130">
        <v>26</v>
      </c>
      <c r="B31" s="32"/>
      <c r="C31" s="21"/>
      <c r="D31" s="28"/>
      <c r="E31" s="24"/>
      <c r="F31" s="28"/>
      <c r="G31" s="28"/>
      <c r="H31" s="17"/>
      <c r="I31" s="132"/>
    </row>
    <row r="32" spans="1:9" s="10" customFormat="1" ht="20.100000000000001" customHeight="1">
      <c r="A32" s="130">
        <v>27</v>
      </c>
      <c r="B32" s="32"/>
      <c r="C32" s="21"/>
      <c r="D32" s="28"/>
      <c r="E32" s="24"/>
      <c r="F32" s="28"/>
      <c r="G32" s="28"/>
      <c r="H32" s="17"/>
      <c r="I32" s="132"/>
    </row>
    <row r="33" spans="1:9" s="10" customFormat="1" ht="20.100000000000001" customHeight="1">
      <c r="A33" s="130">
        <v>28</v>
      </c>
      <c r="B33" s="32"/>
      <c r="C33" s="21"/>
      <c r="D33" s="28"/>
      <c r="E33" s="24"/>
      <c r="F33" s="27"/>
      <c r="G33" s="28"/>
      <c r="H33" s="17"/>
      <c r="I33" s="132"/>
    </row>
    <row r="34" spans="1:9" s="10" customFormat="1" ht="20.100000000000001" customHeight="1">
      <c r="A34" s="130">
        <v>29</v>
      </c>
      <c r="B34" s="32"/>
      <c r="C34" s="21"/>
      <c r="D34" s="28"/>
      <c r="E34" s="24"/>
      <c r="F34" s="27"/>
      <c r="G34" s="28"/>
      <c r="H34" s="17"/>
      <c r="I34" s="132"/>
    </row>
    <row r="35" spans="1:9" s="10" customFormat="1" ht="20.100000000000001" customHeight="1">
      <c r="A35" s="130">
        <v>30</v>
      </c>
      <c r="B35" s="32"/>
      <c r="C35" s="21"/>
      <c r="D35" s="28"/>
      <c r="E35" s="24"/>
      <c r="F35" s="27"/>
      <c r="G35" s="28"/>
      <c r="H35" s="17"/>
      <c r="I35" s="132"/>
    </row>
    <row r="36" spans="1:9" s="10" customFormat="1" ht="20.100000000000001" customHeight="1">
      <c r="A36" s="130">
        <v>31</v>
      </c>
      <c r="B36" s="32"/>
      <c r="C36" s="21"/>
      <c r="D36" s="28"/>
      <c r="E36" s="24"/>
      <c r="F36" s="27"/>
      <c r="G36" s="28"/>
      <c r="H36" s="17"/>
      <c r="I36" s="132"/>
    </row>
    <row r="37" spans="1:9" s="10" customFormat="1" ht="20.100000000000001" customHeight="1">
      <c r="A37" s="130">
        <v>32</v>
      </c>
      <c r="B37" s="32"/>
      <c r="C37" s="21"/>
      <c r="D37" s="17"/>
      <c r="E37" s="17"/>
      <c r="F37" s="17"/>
      <c r="G37" s="28"/>
      <c r="H37" s="17"/>
      <c r="I37" s="132"/>
    </row>
    <row r="38" spans="1:9" s="10" customFormat="1" ht="20.100000000000001" customHeight="1">
      <c r="A38" s="130">
        <v>33</v>
      </c>
      <c r="B38" s="32"/>
      <c r="C38" s="21"/>
      <c r="D38" s="17"/>
      <c r="E38" s="17"/>
      <c r="F38" s="17"/>
      <c r="G38" s="28"/>
      <c r="H38" s="17"/>
      <c r="I38" s="132"/>
    </row>
    <row r="39" spans="1:9" s="10" customFormat="1" ht="20.100000000000001" customHeight="1">
      <c r="A39" s="130">
        <v>34</v>
      </c>
      <c r="B39" s="32"/>
      <c r="C39" s="21"/>
      <c r="D39" s="17"/>
      <c r="E39" s="17"/>
      <c r="F39" s="17"/>
      <c r="G39" s="28"/>
      <c r="H39" s="17"/>
      <c r="I39" s="132"/>
    </row>
    <row r="40" spans="1:9" s="10" customFormat="1" ht="20.100000000000001" customHeight="1">
      <c r="A40" s="130">
        <v>35</v>
      </c>
      <c r="B40" s="32"/>
      <c r="C40" s="21"/>
      <c r="D40" s="17"/>
      <c r="E40" s="17"/>
      <c r="F40" s="17"/>
      <c r="G40" s="28"/>
      <c r="H40" s="17"/>
      <c r="I40" s="132"/>
    </row>
    <row r="41" spans="1:9" s="10" customFormat="1" ht="20.100000000000001" customHeight="1">
      <c r="A41" s="130">
        <v>36</v>
      </c>
      <c r="B41" s="32"/>
      <c r="C41" s="15"/>
      <c r="D41" s="17"/>
      <c r="E41" s="17"/>
      <c r="F41" s="17"/>
      <c r="G41" s="28"/>
      <c r="H41" s="17"/>
      <c r="I41" s="132"/>
    </row>
    <row r="42" spans="1:9" s="10" customFormat="1" ht="20.100000000000001" customHeight="1">
      <c r="A42" s="130">
        <v>37</v>
      </c>
      <c r="B42" s="32"/>
      <c r="C42" s="15"/>
      <c r="D42" s="17"/>
      <c r="E42" s="17"/>
      <c r="F42" s="36"/>
      <c r="G42" s="28"/>
      <c r="H42" s="17"/>
      <c r="I42" s="132"/>
    </row>
    <row r="43" spans="1:9" s="10" customFormat="1" ht="20.100000000000001" customHeight="1">
      <c r="A43" s="130">
        <v>38</v>
      </c>
      <c r="B43" s="45"/>
      <c r="C43" s="37"/>
      <c r="D43" s="38"/>
      <c r="E43" s="39"/>
      <c r="F43" s="39"/>
      <c r="G43" s="28"/>
      <c r="H43" s="17"/>
      <c r="I43" s="132"/>
    </row>
    <row r="44" spans="1:9" s="10" customFormat="1" ht="20.100000000000001" customHeight="1">
      <c r="A44" s="130">
        <v>39</v>
      </c>
      <c r="B44" s="45"/>
      <c r="C44" s="37"/>
      <c r="D44" s="38"/>
      <c r="E44" s="39"/>
      <c r="F44" s="39"/>
      <c r="G44" s="28"/>
      <c r="H44" s="17"/>
      <c r="I44" s="132"/>
    </row>
    <row r="45" spans="1:9" s="10" customFormat="1" ht="20.100000000000001" customHeight="1">
      <c r="A45" s="130">
        <v>40</v>
      </c>
      <c r="B45" s="45"/>
      <c r="C45" s="37"/>
      <c r="D45" s="38"/>
      <c r="E45" s="39"/>
      <c r="F45" s="39"/>
      <c r="G45" s="28"/>
      <c r="H45" s="17"/>
      <c r="I45" s="132"/>
    </row>
    <row r="46" spans="1:9" s="10" customFormat="1" ht="20.100000000000001" customHeight="1">
      <c r="A46" s="130">
        <v>41</v>
      </c>
      <c r="B46" s="45"/>
      <c r="C46" s="37"/>
      <c r="D46" s="38"/>
      <c r="E46" s="39"/>
      <c r="F46" s="39"/>
      <c r="G46" s="40"/>
      <c r="H46" s="17"/>
      <c r="I46" s="132"/>
    </row>
    <row r="47" spans="1:9" s="10" customFormat="1" ht="20.100000000000001" customHeight="1">
      <c r="A47" s="130">
        <v>42</v>
      </c>
      <c r="B47" s="45"/>
      <c r="C47" s="37"/>
      <c r="D47" s="38"/>
      <c r="E47" s="39"/>
      <c r="F47" s="39"/>
      <c r="G47" s="40"/>
      <c r="H47" s="17"/>
      <c r="I47" s="132"/>
    </row>
    <row r="48" spans="1:9" s="10" customFormat="1" ht="20.100000000000001" customHeight="1">
      <c r="A48" s="130">
        <v>43</v>
      </c>
      <c r="B48" s="45"/>
      <c r="C48" s="37"/>
      <c r="D48" s="38"/>
      <c r="E48" s="39"/>
      <c r="F48" s="39"/>
      <c r="G48" s="40"/>
      <c r="H48" s="17"/>
      <c r="I48" s="132"/>
    </row>
    <row r="49" spans="1:9" s="10" customFormat="1" ht="20.100000000000001" customHeight="1">
      <c r="A49" s="130">
        <v>44</v>
      </c>
      <c r="B49" s="45"/>
      <c r="C49" s="37"/>
      <c r="D49" s="38"/>
      <c r="E49" s="39"/>
      <c r="F49" s="39"/>
      <c r="G49" s="40"/>
      <c r="H49" s="17"/>
      <c r="I49" s="132"/>
    </row>
    <row r="50" spans="1:9" s="10" customFormat="1" ht="20.100000000000001" customHeight="1">
      <c r="A50" s="130">
        <v>45</v>
      </c>
      <c r="B50" s="45"/>
      <c r="C50" s="37"/>
      <c r="D50" s="38"/>
      <c r="E50" s="39"/>
      <c r="F50" s="39"/>
      <c r="G50" s="40"/>
      <c r="H50" s="17"/>
      <c r="I50" s="132"/>
    </row>
    <row r="51" spans="1:9" s="10" customFormat="1" ht="20.100000000000001" customHeight="1">
      <c r="A51" s="130">
        <v>46</v>
      </c>
      <c r="B51" s="45"/>
      <c r="C51" s="37"/>
      <c r="D51" s="38"/>
      <c r="E51" s="39"/>
      <c r="F51" s="39"/>
      <c r="G51" s="40"/>
      <c r="H51" s="17"/>
      <c r="I51" s="132"/>
    </row>
    <row r="52" spans="1:9" s="10" customFormat="1" ht="20.100000000000001" customHeight="1">
      <c r="A52" s="130">
        <v>47</v>
      </c>
      <c r="B52" s="45"/>
      <c r="C52" s="37"/>
      <c r="D52" s="38"/>
      <c r="E52" s="39"/>
      <c r="F52" s="39"/>
      <c r="G52" s="40"/>
      <c r="H52" s="17"/>
      <c r="I52" s="132"/>
    </row>
    <row r="53" spans="1:9" s="10" customFormat="1" ht="20.100000000000001" customHeight="1">
      <c r="A53" s="130">
        <v>48</v>
      </c>
      <c r="B53" s="45"/>
      <c r="C53" s="37"/>
      <c r="D53" s="38"/>
      <c r="E53" s="39"/>
      <c r="F53" s="39"/>
      <c r="G53" s="40"/>
      <c r="H53" s="17"/>
      <c r="I53" s="132"/>
    </row>
    <row r="54" spans="1:9" s="10" customFormat="1" ht="20.100000000000001" customHeight="1">
      <c r="A54" s="130">
        <v>49</v>
      </c>
      <c r="B54" s="45"/>
      <c r="C54" s="37"/>
      <c r="D54" s="38"/>
      <c r="E54" s="39"/>
      <c r="F54" s="39"/>
      <c r="G54" s="40"/>
      <c r="H54" s="17"/>
      <c r="I54" s="132"/>
    </row>
    <row r="55" spans="1:9" s="10" customFormat="1" ht="20.100000000000001" customHeight="1">
      <c r="A55" s="130">
        <v>50</v>
      </c>
      <c r="B55" s="45"/>
      <c r="C55" s="37"/>
      <c r="D55" s="38"/>
      <c r="E55" s="39"/>
      <c r="F55" s="39"/>
      <c r="G55" s="40"/>
      <c r="H55" s="17"/>
      <c r="I55" s="132"/>
    </row>
    <row r="56" spans="1:9" s="10" customFormat="1" ht="20.100000000000001" customHeight="1">
      <c r="A56" s="130">
        <v>51</v>
      </c>
      <c r="B56" s="45"/>
      <c r="C56" s="37"/>
      <c r="D56" s="38"/>
      <c r="E56" s="39"/>
      <c r="F56" s="39"/>
      <c r="G56" s="40"/>
      <c r="H56" s="17"/>
      <c r="I56" s="132"/>
    </row>
    <row r="57" spans="1:9" s="10" customFormat="1" ht="20.100000000000001" customHeight="1">
      <c r="A57" s="130">
        <v>52</v>
      </c>
      <c r="B57" s="45"/>
      <c r="C57" s="37"/>
      <c r="D57" s="38"/>
      <c r="E57" s="39"/>
      <c r="F57" s="39"/>
      <c r="G57" s="40"/>
      <c r="H57" s="17"/>
      <c r="I57" s="132"/>
    </row>
    <row r="58" spans="1:9" s="10" customFormat="1" ht="20.100000000000001" customHeight="1">
      <c r="A58" s="130">
        <v>53</v>
      </c>
      <c r="B58" s="45"/>
      <c r="C58" s="37"/>
      <c r="D58" s="38"/>
      <c r="E58" s="39"/>
      <c r="F58" s="39"/>
      <c r="G58" s="40"/>
      <c r="H58" s="17"/>
      <c r="I58" s="132"/>
    </row>
    <row r="59" spans="1:9" s="10" customFormat="1" ht="20.100000000000001" customHeight="1">
      <c r="A59" s="130">
        <v>54</v>
      </c>
      <c r="B59" s="45"/>
      <c r="C59" s="37"/>
      <c r="D59" s="38"/>
      <c r="E59" s="39"/>
      <c r="F59" s="39"/>
      <c r="G59" s="40"/>
      <c r="H59" s="17"/>
      <c r="I59" s="132"/>
    </row>
    <row r="60" spans="1:9" s="10" customFormat="1" ht="20.100000000000001" customHeight="1">
      <c r="A60" s="130">
        <v>55</v>
      </c>
      <c r="B60" s="45"/>
      <c r="C60" s="37"/>
      <c r="D60" s="38"/>
      <c r="E60" s="39"/>
      <c r="F60" s="39"/>
      <c r="G60" s="40"/>
      <c r="H60" s="17"/>
      <c r="I60" s="132"/>
    </row>
    <row r="61" spans="1:9" s="10" customFormat="1" ht="20.100000000000001" customHeight="1">
      <c r="A61" s="130">
        <v>56</v>
      </c>
      <c r="B61" s="32"/>
      <c r="C61" s="15"/>
      <c r="D61" s="17"/>
      <c r="E61" s="17"/>
      <c r="F61" s="17"/>
      <c r="G61" s="40"/>
      <c r="H61" s="17"/>
      <c r="I61" s="132"/>
    </row>
    <row r="62" spans="1:9" s="10" customFormat="1" ht="20.100000000000001" customHeight="1">
      <c r="A62" s="130">
        <v>57</v>
      </c>
      <c r="B62" s="32"/>
      <c r="C62" s="15"/>
      <c r="D62" s="17"/>
      <c r="E62" s="17"/>
      <c r="F62" s="17"/>
      <c r="G62" s="40"/>
      <c r="H62" s="17"/>
      <c r="I62" s="132"/>
    </row>
    <row r="63" spans="1:9" s="10" customFormat="1" ht="20.100000000000001" customHeight="1">
      <c r="A63" s="130">
        <v>58</v>
      </c>
      <c r="B63" s="32"/>
      <c r="C63" s="15"/>
      <c r="D63" s="17"/>
      <c r="E63" s="17"/>
      <c r="F63" s="17"/>
      <c r="G63" s="40"/>
      <c r="H63" s="17"/>
      <c r="I63" s="132"/>
    </row>
    <row r="64" spans="1:9" s="10" customFormat="1" ht="20.100000000000001" customHeight="1">
      <c r="A64" s="130">
        <v>59</v>
      </c>
      <c r="B64" s="45"/>
      <c r="C64" s="37"/>
      <c r="D64" s="38"/>
      <c r="E64" s="39"/>
      <c r="F64" s="39"/>
      <c r="G64" s="40"/>
      <c r="H64" s="17"/>
      <c r="I64" s="132"/>
    </row>
    <row r="65" spans="1:9" s="10" customFormat="1" ht="20.100000000000001" customHeight="1">
      <c r="A65" s="130">
        <v>60</v>
      </c>
      <c r="B65" s="45"/>
      <c r="C65" s="37"/>
      <c r="D65" s="38"/>
      <c r="E65" s="39"/>
      <c r="F65" s="39"/>
      <c r="G65" s="40"/>
      <c r="H65" s="17"/>
      <c r="I65" s="132"/>
    </row>
    <row r="66" spans="1:9" s="10" customFormat="1" ht="20.100000000000001" customHeight="1">
      <c r="A66" s="130">
        <v>61</v>
      </c>
      <c r="B66" s="45"/>
      <c r="C66" s="37"/>
      <c r="D66" s="38"/>
      <c r="E66" s="39"/>
      <c r="F66" s="39"/>
      <c r="G66" s="40"/>
      <c r="H66" s="17"/>
      <c r="I66" s="132"/>
    </row>
    <row r="67" spans="1:9" s="10" customFormat="1" ht="20.100000000000001" customHeight="1">
      <c r="A67" s="130">
        <v>62</v>
      </c>
      <c r="B67" s="45"/>
      <c r="C67" s="37"/>
      <c r="D67" s="38"/>
      <c r="E67" s="39"/>
      <c r="F67" s="39"/>
      <c r="G67" s="40"/>
      <c r="H67" s="17"/>
      <c r="I67" s="132"/>
    </row>
    <row r="68" spans="1:9" s="10" customFormat="1" ht="20.100000000000001" customHeight="1">
      <c r="A68" s="130">
        <v>63</v>
      </c>
      <c r="B68" s="45"/>
      <c r="C68" s="37"/>
      <c r="D68" s="38"/>
      <c r="E68" s="39"/>
      <c r="F68" s="39"/>
      <c r="G68" s="40"/>
      <c r="H68" s="17"/>
      <c r="I68" s="132"/>
    </row>
    <row r="69" spans="1:9" s="10" customFormat="1" ht="15" customHeight="1">
      <c r="A69" s="130">
        <v>64</v>
      </c>
      <c r="B69" s="45"/>
      <c r="C69" s="37"/>
      <c r="D69" s="38"/>
      <c r="E69" s="39"/>
      <c r="F69" s="39"/>
      <c r="G69" s="40"/>
      <c r="H69" s="17"/>
      <c r="I69" s="132"/>
    </row>
    <row r="70" spans="1:9" s="10" customFormat="1" ht="15" customHeight="1">
      <c r="A70" s="130">
        <v>65</v>
      </c>
      <c r="B70" s="45"/>
      <c r="C70" s="37"/>
      <c r="D70" s="38"/>
      <c r="E70" s="39"/>
      <c r="F70" s="39"/>
      <c r="G70" s="40"/>
      <c r="H70" s="17"/>
      <c r="I70" s="132"/>
    </row>
    <row r="71" spans="1:9" s="10" customFormat="1" ht="15" customHeight="1">
      <c r="A71" s="130">
        <v>66</v>
      </c>
      <c r="B71" s="45"/>
      <c r="C71" s="37"/>
      <c r="D71" s="38"/>
      <c r="E71" s="39"/>
      <c r="F71" s="39"/>
      <c r="G71" s="40"/>
      <c r="H71" s="17"/>
      <c r="I71" s="132"/>
    </row>
    <row r="72" spans="1:9" s="10" customFormat="1" ht="15" customHeight="1">
      <c r="A72" s="130">
        <v>67</v>
      </c>
      <c r="B72" s="45"/>
      <c r="C72" s="37"/>
      <c r="D72" s="38"/>
      <c r="E72" s="39"/>
      <c r="F72" s="39"/>
      <c r="G72" s="40"/>
      <c r="H72" s="17"/>
      <c r="I72" s="132"/>
    </row>
    <row r="73" spans="1:9" s="10" customFormat="1" ht="15" customHeight="1">
      <c r="A73" s="130">
        <v>68</v>
      </c>
      <c r="B73" s="45"/>
      <c r="C73" s="37"/>
      <c r="D73" s="38"/>
      <c r="E73" s="39"/>
      <c r="F73" s="39"/>
      <c r="G73" s="40"/>
      <c r="H73" s="17"/>
      <c r="I73" s="132"/>
    </row>
    <row r="74" spans="1:9" s="10" customFormat="1" ht="15" customHeight="1">
      <c r="A74" s="130">
        <v>69</v>
      </c>
      <c r="B74" s="45"/>
      <c r="C74" s="37"/>
      <c r="D74" s="38"/>
      <c r="E74" s="39"/>
      <c r="F74" s="39"/>
      <c r="G74" s="40"/>
      <c r="H74" s="17"/>
      <c r="I74" s="132"/>
    </row>
    <row r="75" spans="1:9" s="10" customFormat="1" ht="15" customHeight="1">
      <c r="A75" s="130">
        <v>70</v>
      </c>
      <c r="B75" s="45"/>
      <c r="C75" s="37"/>
      <c r="D75" s="38"/>
      <c r="E75" s="39"/>
      <c r="F75" s="39"/>
      <c r="G75" s="40"/>
      <c r="H75" s="17"/>
      <c r="I75" s="132"/>
    </row>
    <row r="76" spans="1:9" s="10" customFormat="1" ht="15" customHeight="1">
      <c r="A76" s="130">
        <v>71</v>
      </c>
      <c r="B76" s="45"/>
      <c r="C76" s="37"/>
      <c r="D76" s="38"/>
      <c r="E76" s="39"/>
      <c r="F76" s="39"/>
      <c r="G76" s="40"/>
      <c r="H76" s="17"/>
      <c r="I76" s="132"/>
    </row>
    <row r="77" spans="1:9" s="10" customFormat="1" ht="15" customHeight="1">
      <c r="A77" s="130">
        <v>72</v>
      </c>
      <c r="B77" s="45"/>
      <c r="C77" s="37"/>
      <c r="D77" s="38"/>
      <c r="E77" s="39"/>
      <c r="F77" s="39"/>
      <c r="G77" s="40"/>
      <c r="H77" s="17"/>
      <c r="I77" s="132"/>
    </row>
    <row r="78" spans="1:9" s="10" customFormat="1" ht="15" customHeight="1">
      <c r="A78" s="130">
        <v>73</v>
      </c>
      <c r="B78" s="45"/>
      <c r="C78" s="37"/>
      <c r="D78" s="38"/>
      <c r="E78" s="39"/>
      <c r="F78" s="39"/>
      <c r="G78" s="40"/>
      <c r="H78" s="17"/>
      <c r="I78" s="132"/>
    </row>
    <row r="79" spans="1:9" s="10" customFormat="1" ht="15" customHeight="1">
      <c r="A79" s="130">
        <v>74</v>
      </c>
      <c r="B79" s="45"/>
      <c r="C79" s="37"/>
      <c r="D79" s="38"/>
      <c r="E79" s="39"/>
      <c r="F79" s="39"/>
      <c r="G79" s="40"/>
      <c r="H79" s="17"/>
      <c r="I79" s="132"/>
    </row>
    <row r="80" spans="1:9" s="10" customFormat="1" ht="15" customHeight="1">
      <c r="A80" s="130">
        <v>75</v>
      </c>
      <c r="B80" s="45"/>
      <c r="C80" s="37"/>
      <c r="D80" s="38"/>
      <c r="E80" s="39"/>
      <c r="F80" s="39"/>
      <c r="G80" s="40"/>
      <c r="H80" s="17"/>
      <c r="I80" s="132"/>
    </row>
    <row r="81" spans="1:9" s="10" customFormat="1" ht="15" customHeight="1">
      <c r="A81" s="130">
        <v>76</v>
      </c>
      <c r="B81" s="45"/>
      <c r="C81" s="37"/>
      <c r="D81" s="38"/>
      <c r="E81" s="39"/>
      <c r="F81" s="39"/>
      <c r="G81" s="40"/>
      <c r="H81" s="17"/>
      <c r="I81" s="132"/>
    </row>
    <row r="82" spans="1:9" s="10" customFormat="1" ht="15" customHeight="1">
      <c r="A82" s="130">
        <v>77</v>
      </c>
      <c r="B82" s="45"/>
      <c r="C82" s="37"/>
      <c r="D82" s="38"/>
      <c r="E82" s="39"/>
      <c r="F82" s="39"/>
      <c r="G82" s="40"/>
      <c r="H82" s="17"/>
      <c r="I82" s="132"/>
    </row>
    <row r="83" spans="1:9" s="10" customFormat="1" ht="15" customHeight="1">
      <c r="A83" s="130">
        <v>78</v>
      </c>
      <c r="B83" s="45"/>
      <c r="C83" s="37"/>
      <c r="D83" s="38"/>
      <c r="E83" s="39"/>
      <c r="F83" s="39"/>
      <c r="G83" s="40"/>
      <c r="H83" s="17"/>
      <c r="I83" s="132"/>
    </row>
    <row r="84" spans="1:9" s="10" customFormat="1" ht="15" customHeight="1">
      <c r="A84" s="130">
        <v>79</v>
      </c>
      <c r="B84" s="45"/>
      <c r="C84" s="37"/>
      <c r="D84" s="38"/>
      <c r="E84" s="39"/>
      <c r="F84" s="39"/>
      <c r="G84" s="40"/>
      <c r="H84" s="17"/>
      <c r="I84" s="132"/>
    </row>
    <row r="85" spans="1:9" s="10" customFormat="1" ht="15" customHeight="1">
      <c r="A85" s="130">
        <v>80</v>
      </c>
      <c r="B85" s="45"/>
      <c r="C85" s="37"/>
      <c r="D85" s="39"/>
      <c r="E85" s="39"/>
      <c r="F85" s="39"/>
      <c r="G85" s="40"/>
      <c r="H85" s="17"/>
      <c r="I85" s="132"/>
    </row>
    <row r="86" spans="1:9" s="10" customFormat="1" ht="15" customHeight="1">
      <c r="A86" s="130">
        <v>81</v>
      </c>
      <c r="B86" s="45"/>
      <c r="C86" s="37"/>
      <c r="D86" s="39"/>
      <c r="E86" s="39"/>
      <c r="F86" s="39"/>
      <c r="G86" s="40"/>
      <c r="H86" s="17"/>
      <c r="I86" s="132"/>
    </row>
    <row r="87" spans="1:9" s="10" customFormat="1" ht="15" customHeight="1">
      <c r="A87" s="130">
        <v>82</v>
      </c>
      <c r="B87" s="45"/>
      <c r="C87" s="37"/>
      <c r="D87" s="39"/>
      <c r="E87" s="39"/>
      <c r="F87" s="39"/>
      <c r="G87" s="40"/>
      <c r="H87" s="17"/>
      <c r="I87" s="132"/>
    </row>
    <row r="88" spans="1:9" s="10" customFormat="1" ht="15" customHeight="1">
      <c r="A88" s="130">
        <v>83</v>
      </c>
      <c r="B88" s="45"/>
      <c r="C88" s="37"/>
      <c r="D88" s="39"/>
      <c r="E88" s="39"/>
      <c r="F88" s="39"/>
      <c r="G88" s="40"/>
      <c r="H88" s="17"/>
      <c r="I88" s="132"/>
    </row>
    <row r="89" spans="1:9" s="10" customFormat="1" ht="15" customHeight="1">
      <c r="A89" s="130">
        <v>84</v>
      </c>
      <c r="B89" s="45"/>
      <c r="C89" s="37"/>
      <c r="D89" s="39"/>
      <c r="E89" s="39"/>
      <c r="F89" s="39"/>
      <c r="G89" s="40"/>
      <c r="H89" s="17"/>
      <c r="I89" s="132"/>
    </row>
    <row r="90" spans="1:9" s="10" customFormat="1" ht="15" customHeight="1">
      <c r="A90" s="130">
        <v>85</v>
      </c>
      <c r="B90" s="45"/>
      <c r="C90" s="37"/>
      <c r="D90" s="39"/>
      <c r="E90" s="39"/>
      <c r="F90" s="39"/>
      <c r="G90" s="40"/>
      <c r="H90" s="17"/>
      <c r="I90" s="132"/>
    </row>
    <row r="91" spans="1:9" s="10" customFormat="1" ht="15" customHeight="1">
      <c r="A91" s="130">
        <v>86</v>
      </c>
      <c r="B91" s="45"/>
      <c r="C91" s="37"/>
      <c r="D91" s="39"/>
      <c r="E91" s="39"/>
      <c r="F91" s="39"/>
      <c r="G91" s="40"/>
      <c r="H91" s="17"/>
      <c r="I91" s="132"/>
    </row>
    <row r="92" spans="1:9" s="10" customFormat="1" ht="15" customHeight="1">
      <c r="A92" s="130">
        <v>87</v>
      </c>
      <c r="B92" s="45"/>
      <c r="C92" s="37"/>
      <c r="D92" s="39"/>
      <c r="E92" s="39"/>
      <c r="F92" s="39"/>
      <c r="G92" s="40"/>
      <c r="H92" s="17"/>
      <c r="I92" s="132"/>
    </row>
    <row r="93" spans="1:9" s="10" customFormat="1" ht="15" customHeight="1">
      <c r="A93" s="130">
        <v>88</v>
      </c>
      <c r="B93" s="45"/>
      <c r="C93" s="37"/>
      <c r="D93" s="39"/>
      <c r="E93" s="39"/>
      <c r="F93" s="39"/>
      <c r="G93" s="40"/>
      <c r="H93" s="17"/>
      <c r="I93" s="132"/>
    </row>
    <row r="94" spans="1:9" s="10" customFormat="1" ht="15" customHeight="1">
      <c r="A94" s="130">
        <v>89</v>
      </c>
      <c r="B94" s="45"/>
      <c r="C94" s="37"/>
      <c r="D94" s="39"/>
      <c r="E94" s="39"/>
      <c r="F94" s="39"/>
      <c r="G94" s="40"/>
      <c r="H94" s="17"/>
      <c r="I94" s="132"/>
    </row>
    <row r="95" spans="1:9" s="10" customFormat="1" ht="15" customHeight="1">
      <c r="A95" s="130">
        <v>90</v>
      </c>
      <c r="B95" s="45"/>
      <c r="C95" s="37"/>
      <c r="D95" s="39"/>
      <c r="E95" s="39"/>
      <c r="F95" s="39"/>
      <c r="G95" s="40"/>
      <c r="H95" s="17"/>
      <c r="I95" s="132"/>
    </row>
    <row r="96" spans="1:9" s="10" customFormat="1" ht="15" customHeight="1">
      <c r="A96" s="130">
        <v>91</v>
      </c>
      <c r="B96" s="45"/>
      <c r="C96" s="37"/>
      <c r="D96" s="39"/>
      <c r="E96" s="39"/>
      <c r="F96" s="39"/>
      <c r="G96" s="40"/>
      <c r="H96" s="17"/>
      <c r="I96" s="132"/>
    </row>
    <row r="97" spans="1:9" s="10" customFormat="1" ht="15" customHeight="1">
      <c r="A97" s="130">
        <v>92</v>
      </c>
      <c r="B97" s="45"/>
      <c r="C97" s="37"/>
      <c r="D97" s="39"/>
      <c r="E97" s="39"/>
      <c r="F97" s="39"/>
      <c r="G97" s="40"/>
      <c r="H97" s="17"/>
      <c r="I97" s="132"/>
    </row>
    <row r="98" spans="1:9" s="10" customFormat="1" ht="15" customHeight="1">
      <c r="A98" s="130">
        <v>93</v>
      </c>
      <c r="B98" s="45"/>
      <c r="C98" s="37"/>
      <c r="D98" s="39"/>
      <c r="E98" s="39"/>
      <c r="F98" s="39"/>
      <c r="G98" s="40"/>
      <c r="H98" s="17"/>
      <c r="I98" s="132"/>
    </row>
    <row r="99" spans="1:9" s="10" customFormat="1" ht="15" customHeight="1">
      <c r="A99" s="130">
        <v>94</v>
      </c>
      <c r="B99" s="45"/>
      <c r="C99" s="37"/>
      <c r="D99" s="39"/>
      <c r="E99" s="39"/>
      <c r="F99" s="39"/>
      <c r="G99" s="40"/>
      <c r="H99" s="17"/>
      <c r="I99" s="132"/>
    </row>
    <row r="100" spans="1:9" s="10" customFormat="1" ht="15" customHeight="1">
      <c r="A100" s="130">
        <v>95</v>
      </c>
      <c r="B100" s="45"/>
      <c r="C100" s="37"/>
      <c r="D100" s="39"/>
      <c r="E100" s="39"/>
      <c r="F100" s="39"/>
      <c r="G100" s="40"/>
      <c r="H100" s="17"/>
      <c r="I100" s="132"/>
    </row>
    <row r="101" spans="1:9" s="10" customFormat="1" ht="15" customHeight="1">
      <c r="A101" s="130">
        <v>96</v>
      </c>
      <c r="B101" s="32"/>
      <c r="C101" s="46"/>
      <c r="D101" s="17"/>
      <c r="E101" s="17"/>
      <c r="F101" s="17"/>
      <c r="G101" s="28"/>
      <c r="H101" s="17"/>
      <c r="I101" s="132"/>
    </row>
    <row r="102" spans="1:9" s="10" customFormat="1" ht="15" customHeight="1">
      <c r="A102" s="130">
        <v>97</v>
      </c>
      <c r="B102" s="32"/>
      <c r="C102" s="15"/>
      <c r="D102" s="17"/>
      <c r="E102" s="17"/>
      <c r="F102" s="17"/>
      <c r="G102" s="28"/>
      <c r="H102" s="17"/>
      <c r="I102" s="132"/>
    </row>
    <row r="103" spans="1:9" s="10" customFormat="1" ht="15" customHeight="1">
      <c r="A103" s="130">
        <v>98</v>
      </c>
      <c r="B103" s="32"/>
      <c r="C103" s="15"/>
      <c r="D103" s="17"/>
      <c r="E103" s="17"/>
      <c r="F103" s="17"/>
      <c r="G103" s="28"/>
      <c r="H103" s="17"/>
      <c r="I103" s="132"/>
    </row>
    <row r="104" spans="1:9" s="10" customFormat="1" ht="15" customHeight="1">
      <c r="A104" s="130">
        <v>99</v>
      </c>
      <c r="B104" s="32"/>
      <c r="C104" s="15"/>
      <c r="D104" s="17"/>
      <c r="E104" s="17"/>
      <c r="F104" s="17"/>
      <c r="G104" s="28"/>
      <c r="H104" s="17"/>
      <c r="I104" s="132"/>
    </row>
    <row r="105" spans="1:9" s="10" customFormat="1" ht="15" customHeight="1">
      <c r="A105" s="133">
        <v>100</v>
      </c>
      <c r="B105" s="134"/>
      <c r="C105" s="138"/>
      <c r="D105" s="135"/>
      <c r="E105" s="135"/>
      <c r="F105" s="135"/>
      <c r="G105" s="136"/>
      <c r="H105" s="135"/>
      <c r="I105" s="137"/>
    </row>
    <row r="106" spans="1:9" ht="20.25">
      <c r="B106" s="41"/>
      <c r="C106" s="42"/>
      <c r="D106" s="42"/>
      <c r="E106" s="42"/>
      <c r="F106" s="42"/>
      <c r="G106" s="42"/>
      <c r="H106" s="42"/>
      <c r="I106" s="42"/>
    </row>
  </sheetData>
  <autoFilter ref="B5:G105" xr:uid="{CE6C056B-1174-47E5-B58F-BD1F5280A530}"/>
  <mergeCells count="5">
    <mergeCell ref="A1:A5"/>
    <mergeCell ref="B1:I2"/>
    <mergeCell ref="H3:I3"/>
    <mergeCell ref="B3:B4"/>
    <mergeCell ref="C3:C4"/>
  </mergeCells>
  <dataValidations count="1">
    <dataValidation allowBlank="1" showErrorMessage="1" sqref="C5:D5" xr:uid="{5BFD4B9E-2A63-4F92-992B-BD34C4056A3B}"/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CAA7E392-6745-4301-9C73-E00D129F5123}">
          <x14:formula1>
            <xm:f>DATA!$D$2:$D$17</xm:f>
          </x14:formula1>
          <xm:sqref>C6:C105</xm:sqref>
        </x14:dataValidation>
        <x14:dataValidation type="list" allowBlank="1" showInputMessage="1" showErrorMessage="1" xr:uid="{948A67AF-9A89-47E5-95F6-F8F7BD918B54}">
          <x14:formula1>
            <xm:f>DATA!$C$2:$C$6</xm:f>
          </x14:formula1>
          <xm:sqref>G6:G105 F23</xm:sqref>
        </x14:dataValidation>
        <x14:dataValidation type="list" allowBlank="1" showInputMessage="1" showErrorMessage="1" xr:uid="{C3B4BC5F-FD30-4C41-8AE7-6C911A816312}">
          <x14:formula1>
            <xm:f>DATA!$B$4:$B$10</xm:f>
          </x14:formula1>
          <xm:sqref>H4</xm:sqref>
        </x14:dataValidation>
        <x14:dataValidation type="list" allowBlank="1" showInputMessage="1" showErrorMessage="1" xr:uid="{FD135A13-E7C6-467E-AAB5-74055035C42B}">
          <x14:formula1>
            <xm:f>DATA!$B$2:$B$20</xm:f>
          </x14:formula1>
          <xm:sqref>I6:I7 D6:D105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942E-8C6B-404F-AC86-E61B3F7A0054}">
  <sheetPr codeName="Planilha14"/>
  <dimension ref="A1:L106"/>
  <sheetViews>
    <sheetView zoomScale="90" zoomScaleNormal="90" workbookViewId="0">
      <selection activeCell="B1" sqref="B1:I2"/>
    </sheetView>
  </sheetViews>
  <sheetFormatPr defaultRowHeight="15"/>
  <cols>
    <col min="1" max="1" width="4.42578125" style="49" customWidth="1"/>
    <col min="2" max="2" width="40.7109375" style="43" customWidth="1"/>
    <col min="3" max="3" width="55.7109375" style="44" customWidth="1"/>
    <col min="4" max="4" width="30.7109375" style="44" customWidth="1"/>
    <col min="5" max="5" width="20.7109375" style="44" customWidth="1"/>
    <col min="6" max="6" width="30.7109375" style="44" customWidth="1"/>
    <col min="7" max="7" width="20.7109375" style="44" customWidth="1"/>
    <col min="8" max="8" width="34.7109375" style="44" customWidth="1"/>
    <col min="9" max="9" width="19.7109375" style="44" customWidth="1"/>
    <col min="10" max="10" width="10.5703125" style="10" bestFit="1" customWidth="1"/>
    <col min="11" max="12" width="9.140625" style="10"/>
    <col min="13" max="16384" width="9.140625" style="8"/>
  </cols>
  <sheetData>
    <row r="1" spans="1:10" ht="15" customHeight="1">
      <c r="A1" s="128" t="s">
        <v>58</v>
      </c>
      <c r="B1" s="123" t="s">
        <v>79</v>
      </c>
      <c r="C1" s="101"/>
      <c r="D1" s="101"/>
      <c r="E1" s="101"/>
      <c r="F1" s="101"/>
      <c r="G1" s="101"/>
      <c r="H1" s="101"/>
      <c r="I1" s="102"/>
      <c r="J1" s="9"/>
    </row>
    <row r="2" spans="1:10" ht="33.75" customHeight="1">
      <c r="A2" s="129"/>
      <c r="B2" s="93"/>
      <c r="C2" s="94"/>
      <c r="D2" s="94"/>
      <c r="E2" s="94"/>
      <c r="F2" s="94"/>
      <c r="G2" s="94"/>
      <c r="H2" s="94"/>
      <c r="I2" s="104"/>
      <c r="J2" s="9"/>
    </row>
    <row r="3" spans="1:10" ht="42.75" customHeight="1">
      <c r="A3" s="129"/>
      <c r="B3" s="96" t="s">
        <v>25</v>
      </c>
      <c r="C3" s="98">
        <f>E3-E4-(SUMIFS(E6:E105,G6:G105,"Reserva") + SUMIFS(E6:E105,G6:G105,"Investimento"))</f>
        <v>0</v>
      </c>
      <c r="D3" s="35" t="s">
        <v>36</v>
      </c>
      <c r="E3" s="65">
        <f>SUMIF(($G$6:$G$105),"Receita",($E$6:$E$105))</f>
        <v>0</v>
      </c>
      <c r="F3" s="67" t="s">
        <v>38</v>
      </c>
      <c r="G3" s="34">
        <f>SUMIF(($G$6:$G$105),"Custo",($E$6:$E$105))</f>
        <v>0</v>
      </c>
      <c r="H3" s="95" t="s">
        <v>56</v>
      </c>
      <c r="I3" s="106"/>
    </row>
    <row r="4" spans="1:10" ht="31.5" customHeight="1">
      <c r="A4" s="129"/>
      <c r="B4" s="97"/>
      <c r="C4" s="99"/>
      <c r="D4" s="35" t="s">
        <v>37</v>
      </c>
      <c r="E4" s="65">
        <f>G3+G4</f>
        <v>0</v>
      </c>
      <c r="F4" s="67" t="s">
        <v>39</v>
      </c>
      <c r="G4" s="34">
        <f>SUMIF(($G$6:$G$105),"Gasto",($E$6:$E$105))</f>
        <v>0</v>
      </c>
      <c r="H4" s="66" t="s">
        <v>0</v>
      </c>
      <c r="I4" s="108">
        <f>SUMIF(D6:D105,H4,E6:E105)</f>
        <v>0</v>
      </c>
    </row>
    <row r="5" spans="1:10" ht="23.25" customHeight="1">
      <c r="A5" s="129"/>
      <c r="B5" s="18" t="s">
        <v>20</v>
      </c>
      <c r="C5" s="13" t="s">
        <v>15</v>
      </c>
      <c r="D5" s="13" t="s">
        <v>16</v>
      </c>
      <c r="E5" s="13" t="s">
        <v>17</v>
      </c>
      <c r="F5" s="13" t="s">
        <v>18</v>
      </c>
      <c r="G5" s="13" t="s">
        <v>19</v>
      </c>
      <c r="H5" s="14"/>
      <c r="I5" s="110"/>
    </row>
    <row r="6" spans="1:10" s="10" customFormat="1" ht="20.100000000000001" customHeight="1">
      <c r="A6" s="130">
        <v>1</v>
      </c>
      <c r="B6" s="47"/>
      <c r="C6" s="19"/>
      <c r="D6" s="29"/>
      <c r="E6" s="22"/>
      <c r="F6" s="25"/>
      <c r="G6" s="29"/>
      <c r="H6" s="33"/>
      <c r="I6" s="112"/>
      <c r="J6" s="11"/>
    </row>
    <row r="7" spans="1:10" s="10" customFormat="1" ht="20.100000000000001" customHeight="1">
      <c r="A7" s="130">
        <v>2</v>
      </c>
      <c r="B7" s="47"/>
      <c r="C7" s="19"/>
      <c r="D7" s="31"/>
      <c r="E7" s="22"/>
      <c r="F7" s="25"/>
      <c r="G7" s="30"/>
      <c r="H7" s="33"/>
      <c r="I7" s="112"/>
      <c r="J7" s="12"/>
    </row>
    <row r="8" spans="1:10" s="10" customFormat="1" ht="20.100000000000001" customHeight="1">
      <c r="A8" s="130">
        <v>3</v>
      </c>
      <c r="B8" s="48"/>
      <c r="C8" s="20"/>
      <c r="D8" s="31"/>
      <c r="E8" s="23"/>
      <c r="F8" s="26"/>
      <c r="G8" s="28"/>
      <c r="H8" s="17"/>
      <c r="I8" s="131"/>
      <c r="J8" s="12"/>
    </row>
    <row r="9" spans="1:10" s="10" customFormat="1" ht="20.100000000000001" customHeight="1">
      <c r="A9" s="130">
        <v>4</v>
      </c>
      <c r="B9" s="48"/>
      <c r="C9" s="20"/>
      <c r="D9" s="31"/>
      <c r="E9" s="23"/>
      <c r="F9" s="26"/>
      <c r="G9" s="28"/>
      <c r="H9" s="17"/>
      <c r="I9" s="131"/>
      <c r="J9" s="12"/>
    </row>
    <row r="10" spans="1:10" s="10" customFormat="1" ht="20.100000000000001" customHeight="1">
      <c r="A10" s="130">
        <v>5</v>
      </c>
      <c r="B10" s="48"/>
      <c r="C10" s="20"/>
      <c r="D10" s="31"/>
      <c r="E10" s="23"/>
      <c r="F10" s="26"/>
      <c r="G10" s="28"/>
      <c r="H10" s="17"/>
      <c r="I10" s="131"/>
      <c r="J10" s="12"/>
    </row>
    <row r="11" spans="1:10" s="10" customFormat="1" ht="20.100000000000001" customHeight="1">
      <c r="A11" s="130">
        <v>6</v>
      </c>
      <c r="B11" s="48"/>
      <c r="C11" s="20"/>
      <c r="D11" s="31"/>
      <c r="E11" s="23"/>
      <c r="F11" s="26"/>
      <c r="G11" s="28"/>
      <c r="H11" s="17"/>
      <c r="I11" s="131"/>
      <c r="J11" s="12"/>
    </row>
    <row r="12" spans="1:10" s="10" customFormat="1" ht="20.100000000000001" customHeight="1">
      <c r="A12" s="130">
        <v>7</v>
      </c>
      <c r="B12" s="48"/>
      <c r="C12" s="20"/>
      <c r="D12" s="28"/>
      <c r="E12" s="23"/>
      <c r="F12" s="26"/>
      <c r="G12" s="28"/>
      <c r="H12" s="17"/>
      <c r="I12" s="131"/>
      <c r="J12" s="12"/>
    </row>
    <row r="13" spans="1:10" s="10" customFormat="1" ht="20.100000000000001" customHeight="1">
      <c r="A13" s="130">
        <v>8</v>
      </c>
      <c r="B13" s="48"/>
      <c r="C13" s="20"/>
      <c r="D13" s="31"/>
      <c r="E13" s="23"/>
      <c r="F13" s="26"/>
      <c r="G13" s="28"/>
      <c r="H13" s="17"/>
      <c r="I13" s="132"/>
    </row>
    <row r="14" spans="1:10" s="10" customFormat="1" ht="20.100000000000001" customHeight="1">
      <c r="A14" s="130">
        <v>9</v>
      </c>
      <c r="B14" s="32"/>
      <c r="C14" s="20"/>
      <c r="D14" s="31"/>
      <c r="E14" s="24"/>
      <c r="F14" s="27"/>
      <c r="G14" s="28"/>
      <c r="H14" s="17"/>
      <c r="I14" s="132"/>
    </row>
    <row r="15" spans="1:10" s="10" customFormat="1" ht="20.100000000000001" customHeight="1">
      <c r="A15" s="130">
        <v>10</v>
      </c>
      <c r="B15" s="32"/>
      <c r="C15" s="21"/>
      <c r="D15" s="28"/>
      <c r="E15" s="24"/>
      <c r="F15" s="27"/>
      <c r="G15" s="28"/>
      <c r="H15" s="17"/>
      <c r="I15" s="132"/>
    </row>
    <row r="16" spans="1:10" s="10" customFormat="1" ht="20.100000000000001" customHeight="1">
      <c r="A16" s="130">
        <v>11</v>
      </c>
      <c r="B16" s="32"/>
      <c r="C16" s="21"/>
      <c r="D16" s="31"/>
      <c r="E16" s="24"/>
      <c r="F16" s="27"/>
      <c r="G16" s="28"/>
      <c r="H16" s="17"/>
      <c r="I16" s="132"/>
    </row>
    <row r="17" spans="1:9" s="10" customFormat="1" ht="20.100000000000001" customHeight="1">
      <c r="A17" s="130">
        <v>12</v>
      </c>
      <c r="B17" s="32"/>
      <c r="C17" s="21"/>
      <c r="D17" s="28"/>
      <c r="E17" s="24"/>
      <c r="F17" s="28"/>
      <c r="G17" s="28"/>
      <c r="H17" s="17"/>
      <c r="I17" s="132"/>
    </row>
    <row r="18" spans="1:9" s="10" customFormat="1" ht="20.100000000000001" customHeight="1">
      <c r="A18" s="130">
        <v>13</v>
      </c>
      <c r="B18" s="32"/>
      <c r="C18" s="21"/>
      <c r="D18" s="28"/>
      <c r="E18" s="24"/>
      <c r="F18" s="28"/>
      <c r="G18" s="28"/>
      <c r="H18" s="17"/>
      <c r="I18" s="132"/>
    </row>
    <row r="19" spans="1:9" s="10" customFormat="1" ht="20.100000000000001" customHeight="1">
      <c r="A19" s="130">
        <v>14</v>
      </c>
      <c r="B19" s="32"/>
      <c r="C19" s="21"/>
      <c r="D19" s="28"/>
      <c r="E19" s="24"/>
      <c r="F19" s="28"/>
      <c r="G19" s="28"/>
      <c r="H19" s="17"/>
      <c r="I19" s="132"/>
    </row>
    <row r="20" spans="1:9" s="10" customFormat="1" ht="20.100000000000001" customHeight="1">
      <c r="A20" s="130">
        <v>15</v>
      </c>
      <c r="B20" s="32"/>
      <c r="C20" s="21"/>
      <c r="D20" s="31"/>
      <c r="E20" s="24"/>
      <c r="F20" s="27"/>
      <c r="G20" s="28"/>
      <c r="H20" s="17"/>
      <c r="I20" s="132"/>
    </row>
    <row r="21" spans="1:9" s="10" customFormat="1" ht="20.100000000000001" customHeight="1">
      <c r="A21" s="130">
        <v>16</v>
      </c>
      <c r="B21" s="32"/>
      <c r="C21" s="21"/>
      <c r="D21" s="31"/>
      <c r="E21" s="24"/>
      <c r="F21" s="28"/>
      <c r="G21" s="28"/>
      <c r="H21" s="17"/>
      <c r="I21" s="132"/>
    </row>
    <row r="22" spans="1:9" s="10" customFormat="1" ht="20.100000000000001" customHeight="1">
      <c r="A22" s="130">
        <v>17</v>
      </c>
      <c r="B22" s="32"/>
      <c r="C22" s="21"/>
      <c r="D22" s="28"/>
      <c r="E22" s="24"/>
      <c r="F22" s="28"/>
      <c r="G22" s="28"/>
      <c r="H22" s="17"/>
      <c r="I22" s="132"/>
    </row>
    <row r="23" spans="1:9" s="10" customFormat="1" ht="20.100000000000001" customHeight="1">
      <c r="A23" s="130">
        <v>18</v>
      </c>
      <c r="B23" s="48"/>
      <c r="C23" s="20"/>
      <c r="D23" s="31"/>
      <c r="E23" s="23"/>
      <c r="F23" s="26"/>
      <c r="G23" s="28"/>
      <c r="H23" s="17"/>
      <c r="I23" s="132"/>
    </row>
    <row r="24" spans="1:9" s="10" customFormat="1" ht="20.100000000000001" customHeight="1">
      <c r="A24" s="130">
        <v>19</v>
      </c>
      <c r="B24" s="32"/>
      <c r="C24" s="21"/>
      <c r="D24" s="28"/>
      <c r="E24" s="24"/>
      <c r="F24" s="28"/>
      <c r="G24" s="28"/>
      <c r="H24" s="17"/>
      <c r="I24" s="132"/>
    </row>
    <row r="25" spans="1:9" s="10" customFormat="1" ht="20.100000000000001" customHeight="1">
      <c r="A25" s="130">
        <v>20</v>
      </c>
      <c r="B25" s="32"/>
      <c r="C25" s="21"/>
      <c r="D25" s="28"/>
      <c r="E25" s="24"/>
      <c r="F25" s="28"/>
      <c r="G25" s="28"/>
      <c r="H25" s="17"/>
      <c r="I25" s="132"/>
    </row>
    <row r="26" spans="1:9" s="10" customFormat="1" ht="20.100000000000001" customHeight="1">
      <c r="A26" s="130">
        <v>21</v>
      </c>
      <c r="B26" s="32"/>
      <c r="C26" s="21"/>
      <c r="D26" s="28"/>
      <c r="E26" s="24"/>
      <c r="F26" s="28"/>
      <c r="G26" s="28"/>
      <c r="H26" s="17"/>
      <c r="I26" s="132"/>
    </row>
    <row r="27" spans="1:9" s="10" customFormat="1" ht="20.100000000000001" customHeight="1">
      <c r="A27" s="130">
        <v>22</v>
      </c>
      <c r="B27" s="32"/>
      <c r="C27" s="21"/>
      <c r="D27" s="28"/>
      <c r="E27" s="24"/>
      <c r="F27" s="28"/>
      <c r="G27" s="28"/>
      <c r="H27" s="17"/>
      <c r="I27" s="132"/>
    </row>
    <row r="28" spans="1:9" s="10" customFormat="1" ht="20.100000000000001" customHeight="1">
      <c r="A28" s="130">
        <v>23</v>
      </c>
      <c r="B28" s="32"/>
      <c r="C28" s="21"/>
      <c r="D28" s="28"/>
      <c r="E28" s="24"/>
      <c r="F28" s="28"/>
      <c r="G28" s="28"/>
      <c r="H28" s="17"/>
      <c r="I28" s="132"/>
    </row>
    <row r="29" spans="1:9" s="10" customFormat="1" ht="20.100000000000001" customHeight="1">
      <c r="A29" s="130">
        <v>24</v>
      </c>
      <c r="B29" s="32"/>
      <c r="C29" s="21"/>
      <c r="D29" s="28"/>
      <c r="E29" s="24"/>
      <c r="F29" s="28"/>
      <c r="G29" s="28"/>
      <c r="H29" s="17"/>
      <c r="I29" s="132"/>
    </row>
    <row r="30" spans="1:9" s="10" customFormat="1" ht="20.100000000000001" customHeight="1">
      <c r="A30" s="130">
        <v>25</v>
      </c>
      <c r="B30" s="32"/>
      <c r="C30" s="21"/>
      <c r="D30" s="31"/>
      <c r="E30" s="24"/>
      <c r="F30" s="28"/>
      <c r="G30" s="28"/>
      <c r="H30" s="17"/>
      <c r="I30" s="132"/>
    </row>
    <row r="31" spans="1:9" s="10" customFormat="1" ht="20.100000000000001" customHeight="1">
      <c r="A31" s="130">
        <v>26</v>
      </c>
      <c r="B31" s="32"/>
      <c r="C31" s="21"/>
      <c r="D31" s="28"/>
      <c r="E31" s="24"/>
      <c r="F31" s="28"/>
      <c r="G31" s="28"/>
      <c r="H31" s="17"/>
      <c r="I31" s="132"/>
    </row>
    <row r="32" spans="1:9" s="10" customFormat="1" ht="20.100000000000001" customHeight="1">
      <c r="A32" s="130">
        <v>27</v>
      </c>
      <c r="B32" s="32"/>
      <c r="C32" s="21"/>
      <c r="D32" s="28"/>
      <c r="E32" s="24"/>
      <c r="F32" s="28"/>
      <c r="G32" s="28"/>
      <c r="H32" s="17"/>
      <c r="I32" s="132"/>
    </row>
    <row r="33" spans="1:9" s="10" customFormat="1" ht="20.100000000000001" customHeight="1">
      <c r="A33" s="130">
        <v>28</v>
      </c>
      <c r="B33" s="32"/>
      <c r="C33" s="21"/>
      <c r="D33" s="28"/>
      <c r="E33" s="24"/>
      <c r="F33" s="27"/>
      <c r="G33" s="28"/>
      <c r="H33" s="17"/>
      <c r="I33" s="132"/>
    </row>
    <row r="34" spans="1:9" s="10" customFormat="1" ht="20.100000000000001" customHeight="1">
      <c r="A34" s="130">
        <v>29</v>
      </c>
      <c r="B34" s="32"/>
      <c r="C34" s="21"/>
      <c r="D34" s="28"/>
      <c r="E34" s="24"/>
      <c r="F34" s="27"/>
      <c r="G34" s="28"/>
      <c r="H34" s="17"/>
      <c r="I34" s="132"/>
    </row>
    <row r="35" spans="1:9" s="10" customFormat="1" ht="20.100000000000001" customHeight="1">
      <c r="A35" s="130">
        <v>30</v>
      </c>
      <c r="B35" s="32"/>
      <c r="C35" s="21"/>
      <c r="D35" s="28"/>
      <c r="E35" s="24"/>
      <c r="F35" s="27"/>
      <c r="G35" s="28"/>
      <c r="H35" s="17"/>
      <c r="I35" s="132"/>
    </row>
    <row r="36" spans="1:9" s="10" customFormat="1" ht="20.100000000000001" customHeight="1">
      <c r="A36" s="130">
        <v>31</v>
      </c>
      <c r="B36" s="32"/>
      <c r="C36" s="21"/>
      <c r="D36" s="28"/>
      <c r="E36" s="24"/>
      <c r="F36" s="27"/>
      <c r="G36" s="28"/>
      <c r="H36" s="17"/>
      <c r="I36" s="132"/>
    </row>
    <row r="37" spans="1:9" s="10" customFormat="1" ht="20.100000000000001" customHeight="1">
      <c r="A37" s="130">
        <v>32</v>
      </c>
      <c r="B37" s="32"/>
      <c r="C37" s="21"/>
      <c r="D37" s="17"/>
      <c r="E37" s="17"/>
      <c r="F37" s="17"/>
      <c r="G37" s="28"/>
      <c r="H37" s="17"/>
      <c r="I37" s="132"/>
    </row>
    <row r="38" spans="1:9" s="10" customFormat="1" ht="20.100000000000001" customHeight="1">
      <c r="A38" s="130">
        <v>33</v>
      </c>
      <c r="B38" s="32"/>
      <c r="C38" s="21"/>
      <c r="D38" s="17"/>
      <c r="E38" s="17"/>
      <c r="F38" s="17"/>
      <c r="G38" s="28"/>
      <c r="H38" s="17"/>
      <c r="I38" s="132"/>
    </row>
    <row r="39" spans="1:9" s="10" customFormat="1" ht="20.100000000000001" customHeight="1">
      <c r="A39" s="130">
        <v>34</v>
      </c>
      <c r="B39" s="32"/>
      <c r="C39" s="21"/>
      <c r="D39" s="17"/>
      <c r="E39" s="17"/>
      <c r="F39" s="17"/>
      <c r="G39" s="28"/>
      <c r="H39" s="17"/>
      <c r="I39" s="132"/>
    </row>
    <row r="40" spans="1:9" s="10" customFormat="1" ht="20.100000000000001" customHeight="1">
      <c r="A40" s="130">
        <v>35</v>
      </c>
      <c r="B40" s="32"/>
      <c r="C40" s="21"/>
      <c r="D40" s="17"/>
      <c r="E40" s="17"/>
      <c r="F40" s="17"/>
      <c r="G40" s="28"/>
      <c r="H40" s="17"/>
      <c r="I40" s="132"/>
    </row>
    <row r="41" spans="1:9" s="10" customFormat="1" ht="20.100000000000001" customHeight="1">
      <c r="A41" s="130">
        <v>36</v>
      </c>
      <c r="B41" s="32"/>
      <c r="C41" s="15"/>
      <c r="D41" s="17"/>
      <c r="E41" s="17"/>
      <c r="F41" s="17"/>
      <c r="G41" s="28"/>
      <c r="H41" s="17"/>
      <c r="I41" s="132"/>
    </row>
    <row r="42" spans="1:9" s="10" customFormat="1" ht="20.100000000000001" customHeight="1">
      <c r="A42" s="130">
        <v>37</v>
      </c>
      <c r="B42" s="32"/>
      <c r="C42" s="15"/>
      <c r="D42" s="17"/>
      <c r="E42" s="17"/>
      <c r="F42" s="36"/>
      <c r="G42" s="28"/>
      <c r="H42" s="17"/>
      <c r="I42" s="132"/>
    </row>
    <row r="43" spans="1:9" s="10" customFormat="1" ht="20.100000000000001" customHeight="1">
      <c r="A43" s="130">
        <v>38</v>
      </c>
      <c r="B43" s="45"/>
      <c r="C43" s="37"/>
      <c r="D43" s="38"/>
      <c r="E43" s="39"/>
      <c r="F43" s="39"/>
      <c r="G43" s="28"/>
      <c r="H43" s="17"/>
      <c r="I43" s="132"/>
    </row>
    <row r="44" spans="1:9" s="10" customFormat="1" ht="20.100000000000001" customHeight="1">
      <c r="A44" s="130">
        <v>39</v>
      </c>
      <c r="B44" s="45"/>
      <c r="C44" s="37"/>
      <c r="D44" s="38"/>
      <c r="E44" s="39"/>
      <c r="F44" s="39"/>
      <c r="G44" s="28"/>
      <c r="H44" s="17"/>
      <c r="I44" s="132"/>
    </row>
    <row r="45" spans="1:9" s="10" customFormat="1" ht="20.100000000000001" customHeight="1">
      <c r="A45" s="130">
        <v>40</v>
      </c>
      <c r="B45" s="45"/>
      <c r="C45" s="37"/>
      <c r="D45" s="38"/>
      <c r="E45" s="39"/>
      <c r="F45" s="39"/>
      <c r="G45" s="28"/>
      <c r="H45" s="17"/>
      <c r="I45" s="132"/>
    </row>
    <row r="46" spans="1:9" s="10" customFormat="1" ht="20.100000000000001" customHeight="1">
      <c r="A46" s="130">
        <v>41</v>
      </c>
      <c r="B46" s="45"/>
      <c r="C46" s="37"/>
      <c r="D46" s="38"/>
      <c r="E46" s="39"/>
      <c r="F46" s="39"/>
      <c r="G46" s="40"/>
      <c r="H46" s="17"/>
      <c r="I46" s="132"/>
    </row>
    <row r="47" spans="1:9" s="10" customFormat="1" ht="20.100000000000001" customHeight="1">
      <c r="A47" s="130">
        <v>42</v>
      </c>
      <c r="B47" s="45"/>
      <c r="C47" s="37"/>
      <c r="D47" s="38"/>
      <c r="E47" s="39"/>
      <c r="F47" s="39"/>
      <c r="G47" s="40"/>
      <c r="H47" s="17"/>
      <c r="I47" s="132"/>
    </row>
    <row r="48" spans="1:9" s="10" customFormat="1" ht="20.100000000000001" customHeight="1">
      <c r="A48" s="130">
        <v>43</v>
      </c>
      <c r="B48" s="45"/>
      <c r="C48" s="37"/>
      <c r="D48" s="38"/>
      <c r="E48" s="39"/>
      <c r="F48" s="39"/>
      <c r="G48" s="40"/>
      <c r="H48" s="17"/>
      <c r="I48" s="132"/>
    </row>
    <row r="49" spans="1:9" s="10" customFormat="1" ht="20.100000000000001" customHeight="1">
      <c r="A49" s="130">
        <v>44</v>
      </c>
      <c r="B49" s="45"/>
      <c r="C49" s="37"/>
      <c r="D49" s="38"/>
      <c r="E49" s="39"/>
      <c r="F49" s="39"/>
      <c r="G49" s="40"/>
      <c r="H49" s="17"/>
      <c r="I49" s="132"/>
    </row>
    <row r="50" spans="1:9" s="10" customFormat="1" ht="20.100000000000001" customHeight="1">
      <c r="A50" s="130">
        <v>45</v>
      </c>
      <c r="B50" s="45"/>
      <c r="C50" s="37"/>
      <c r="D50" s="38"/>
      <c r="E50" s="39"/>
      <c r="F50" s="39"/>
      <c r="G50" s="40"/>
      <c r="H50" s="17"/>
      <c r="I50" s="132"/>
    </row>
    <row r="51" spans="1:9" s="10" customFormat="1" ht="20.100000000000001" customHeight="1">
      <c r="A51" s="130">
        <v>46</v>
      </c>
      <c r="B51" s="45"/>
      <c r="C51" s="37"/>
      <c r="D51" s="38"/>
      <c r="E51" s="39"/>
      <c r="F51" s="39"/>
      <c r="G51" s="40"/>
      <c r="H51" s="17"/>
      <c r="I51" s="132"/>
    </row>
    <row r="52" spans="1:9" s="10" customFormat="1" ht="20.100000000000001" customHeight="1">
      <c r="A52" s="130">
        <v>47</v>
      </c>
      <c r="B52" s="45"/>
      <c r="C52" s="37"/>
      <c r="D52" s="38"/>
      <c r="E52" s="39"/>
      <c r="F52" s="39"/>
      <c r="G52" s="40"/>
      <c r="H52" s="17"/>
      <c r="I52" s="132"/>
    </row>
    <row r="53" spans="1:9" s="10" customFormat="1" ht="20.100000000000001" customHeight="1">
      <c r="A53" s="130">
        <v>48</v>
      </c>
      <c r="B53" s="45"/>
      <c r="C53" s="37"/>
      <c r="D53" s="38"/>
      <c r="E53" s="39"/>
      <c r="F53" s="39"/>
      <c r="G53" s="40"/>
      <c r="H53" s="17"/>
      <c r="I53" s="132"/>
    </row>
    <row r="54" spans="1:9" s="10" customFormat="1" ht="20.100000000000001" customHeight="1">
      <c r="A54" s="130">
        <v>49</v>
      </c>
      <c r="B54" s="45"/>
      <c r="C54" s="37"/>
      <c r="D54" s="38"/>
      <c r="E54" s="39"/>
      <c r="F54" s="39"/>
      <c r="G54" s="40"/>
      <c r="H54" s="17"/>
      <c r="I54" s="132"/>
    </row>
    <row r="55" spans="1:9" s="10" customFormat="1" ht="20.100000000000001" customHeight="1">
      <c r="A55" s="130">
        <v>50</v>
      </c>
      <c r="B55" s="45"/>
      <c r="C55" s="37"/>
      <c r="D55" s="38"/>
      <c r="E55" s="39"/>
      <c r="F55" s="39"/>
      <c r="G55" s="40"/>
      <c r="H55" s="17"/>
      <c r="I55" s="132"/>
    </row>
    <row r="56" spans="1:9" s="10" customFormat="1" ht="20.100000000000001" customHeight="1">
      <c r="A56" s="130">
        <v>51</v>
      </c>
      <c r="B56" s="45"/>
      <c r="C56" s="37"/>
      <c r="D56" s="38"/>
      <c r="E56" s="39"/>
      <c r="F56" s="39"/>
      <c r="G56" s="40"/>
      <c r="H56" s="17"/>
      <c r="I56" s="132"/>
    </row>
    <row r="57" spans="1:9" s="10" customFormat="1" ht="20.100000000000001" customHeight="1">
      <c r="A57" s="130">
        <v>52</v>
      </c>
      <c r="B57" s="45"/>
      <c r="C57" s="37"/>
      <c r="D57" s="38"/>
      <c r="E57" s="39"/>
      <c r="F57" s="39"/>
      <c r="G57" s="40"/>
      <c r="H57" s="17"/>
      <c r="I57" s="132"/>
    </row>
    <row r="58" spans="1:9" s="10" customFormat="1" ht="20.100000000000001" customHeight="1">
      <c r="A58" s="130">
        <v>53</v>
      </c>
      <c r="B58" s="45"/>
      <c r="C58" s="37"/>
      <c r="D58" s="38"/>
      <c r="E58" s="39"/>
      <c r="F58" s="39"/>
      <c r="G58" s="40"/>
      <c r="H58" s="17"/>
      <c r="I58" s="132"/>
    </row>
    <row r="59" spans="1:9" s="10" customFormat="1" ht="20.100000000000001" customHeight="1">
      <c r="A59" s="130">
        <v>54</v>
      </c>
      <c r="B59" s="45"/>
      <c r="C59" s="37"/>
      <c r="D59" s="38"/>
      <c r="E59" s="39"/>
      <c r="F59" s="39"/>
      <c r="G59" s="40"/>
      <c r="H59" s="17"/>
      <c r="I59" s="132"/>
    </row>
    <row r="60" spans="1:9" s="10" customFormat="1" ht="20.100000000000001" customHeight="1">
      <c r="A60" s="130">
        <v>55</v>
      </c>
      <c r="B60" s="45"/>
      <c r="C60" s="37"/>
      <c r="D60" s="38"/>
      <c r="E60" s="39"/>
      <c r="F60" s="39"/>
      <c r="G60" s="40"/>
      <c r="H60" s="17"/>
      <c r="I60" s="132"/>
    </row>
    <row r="61" spans="1:9" s="10" customFormat="1" ht="20.100000000000001" customHeight="1">
      <c r="A61" s="130">
        <v>56</v>
      </c>
      <c r="B61" s="32"/>
      <c r="C61" s="15"/>
      <c r="D61" s="17"/>
      <c r="E61" s="17"/>
      <c r="F61" s="17"/>
      <c r="G61" s="40"/>
      <c r="H61" s="17"/>
      <c r="I61" s="132"/>
    </row>
    <row r="62" spans="1:9" s="10" customFormat="1" ht="20.100000000000001" customHeight="1">
      <c r="A62" s="130">
        <v>57</v>
      </c>
      <c r="B62" s="32"/>
      <c r="C62" s="15"/>
      <c r="D62" s="17"/>
      <c r="E62" s="17"/>
      <c r="F62" s="17"/>
      <c r="G62" s="40"/>
      <c r="H62" s="17"/>
      <c r="I62" s="132"/>
    </row>
    <row r="63" spans="1:9" s="10" customFormat="1" ht="20.100000000000001" customHeight="1">
      <c r="A63" s="130">
        <v>58</v>
      </c>
      <c r="B63" s="32"/>
      <c r="C63" s="15"/>
      <c r="D63" s="17"/>
      <c r="E63" s="17"/>
      <c r="F63" s="17"/>
      <c r="G63" s="40"/>
      <c r="H63" s="17"/>
      <c r="I63" s="132"/>
    </row>
    <row r="64" spans="1:9" s="10" customFormat="1" ht="20.100000000000001" customHeight="1">
      <c r="A64" s="130">
        <v>59</v>
      </c>
      <c r="B64" s="45"/>
      <c r="C64" s="37"/>
      <c r="D64" s="38"/>
      <c r="E64" s="39"/>
      <c r="F64" s="39"/>
      <c r="G64" s="40"/>
      <c r="H64" s="17"/>
      <c r="I64" s="132"/>
    </row>
    <row r="65" spans="1:9" s="10" customFormat="1" ht="20.100000000000001" customHeight="1">
      <c r="A65" s="130">
        <v>60</v>
      </c>
      <c r="B65" s="45"/>
      <c r="C65" s="37"/>
      <c r="D65" s="38"/>
      <c r="E65" s="39"/>
      <c r="F65" s="39"/>
      <c r="G65" s="40"/>
      <c r="H65" s="17"/>
      <c r="I65" s="132"/>
    </row>
    <row r="66" spans="1:9" s="10" customFormat="1" ht="20.100000000000001" customHeight="1">
      <c r="A66" s="130">
        <v>61</v>
      </c>
      <c r="B66" s="45"/>
      <c r="C66" s="37"/>
      <c r="D66" s="38"/>
      <c r="E66" s="39"/>
      <c r="F66" s="39"/>
      <c r="G66" s="40"/>
      <c r="H66" s="17"/>
      <c r="I66" s="132"/>
    </row>
    <row r="67" spans="1:9" s="10" customFormat="1" ht="20.100000000000001" customHeight="1">
      <c r="A67" s="130">
        <v>62</v>
      </c>
      <c r="B67" s="45"/>
      <c r="C67" s="37"/>
      <c r="D67" s="38"/>
      <c r="E67" s="39"/>
      <c r="F67" s="39"/>
      <c r="G67" s="40"/>
      <c r="H67" s="17"/>
      <c r="I67" s="132"/>
    </row>
    <row r="68" spans="1:9" s="10" customFormat="1" ht="20.100000000000001" customHeight="1">
      <c r="A68" s="130">
        <v>63</v>
      </c>
      <c r="B68" s="45"/>
      <c r="C68" s="37"/>
      <c r="D68" s="38"/>
      <c r="E68" s="39"/>
      <c r="F68" s="39"/>
      <c r="G68" s="40"/>
      <c r="H68" s="17"/>
      <c r="I68" s="132"/>
    </row>
    <row r="69" spans="1:9" s="10" customFormat="1" ht="15" customHeight="1">
      <c r="A69" s="130">
        <v>64</v>
      </c>
      <c r="B69" s="45"/>
      <c r="C69" s="37"/>
      <c r="D69" s="38"/>
      <c r="E69" s="39"/>
      <c r="F69" s="39"/>
      <c r="G69" s="40"/>
      <c r="H69" s="17"/>
      <c r="I69" s="132"/>
    </row>
    <row r="70" spans="1:9" s="10" customFormat="1" ht="15" customHeight="1">
      <c r="A70" s="130">
        <v>65</v>
      </c>
      <c r="B70" s="45"/>
      <c r="C70" s="37"/>
      <c r="D70" s="38"/>
      <c r="E70" s="39"/>
      <c r="F70" s="39"/>
      <c r="G70" s="40"/>
      <c r="H70" s="17"/>
      <c r="I70" s="132"/>
    </row>
    <row r="71" spans="1:9" s="10" customFormat="1" ht="15" customHeight="1">
      <c r="A71" s="130">
        <v>66</v>
      </c>
      <c r="B71" s="45"/>
      <c r="C71" s="37"/>
      <c r="D71" s="38"/>
      <c r="E71" s="39"/>
      <c r="F71" s="39"/>
      <c r="G71" s="40"/>
      <c r="H71" s="17"/>
      <c r="I71" s="132"/>
    </row>
    <row r="72" spans="1:9" s="10" customFormat="1" ht="15" customHeight="1">
      <c r="A72" s="130">
        <v>67</v>
      </c>
      <c r="B72" s="45"/>
      <c r="C72" s="37"/>
      <c r="D72" s="38"/>
      <c r="E72" s="39"/>
      <c r="F72" s="39"/>
      <c r="G72" s="40"/>
      <c r="H72" s="17"/>
      <c r="I72" s="132"/>
    </row>
    <row r="73" spans="1:9" s="10" customFormat="1" ht="15" customHeight="1">
      <c r="A73" s="130">
        <v>68</v>
      </c>
      <c r="B73" s="45"/>
      <c r="C73" s="37"/>
      <c r="D73" s="38"/>
      <c r="E73" s="39"/>
      <c r="F73" s="39"/>
      <c r="G73" s="40"/>
      <c r="H73" s="17"/>
      <c r="I73" s="132"/>
    </row>
    <row r="74" spans="1:9" s="10" customFormat="1" ht="15" customHeight="1">
      <c r="A74" s="130">
        <v>69</v>
      </c>
      <c r="B74" s="45"/>
      <c r="C74" s="37"/>
      <c r="D74" s="38"/>
      <c r="E74" s="39"/>
      <c r="F74" s="39"/>
      <c r="G74" s="40"/>
      <c r="H74" s="17"/>
      <c r="I74" s="132"/>
    </row>
    <row r="75" spans="1:9" s="10" customFormat="1" ht="15" customHeight="1">
      <c r="A75" s="130">
        <v>70</v>
      </c>
      <c r="B75" s="45"/>
      <c r="C75" s="37"/>
      <c r="D75" s="38"/>
      <c r="E75" s="39"/>
      <c r="F75" s="39"/>
      <c r="G75" s="40"/>
      <c r="H75" s="17"/>
      <c r="I75" s="132"/>
    </row>
    <row r="76" spans="1:9" s="10" customFormat="1" ht="15" customHeight="1">
      <c r="A76" s="130">
        <v>71</v>
      </c>
      <c r="B76" s="45"/>
      <c r="C76" s="37"/>
      <c r="D76" s="38"/>
      <c r="E76" s="39"/>
      <c r="F76" s="39"/>
      <c r="G76" s="40"/>
      <c r="H76" s="17"/>
      <c r="I76" s="132"/>
    </row>
    <row r="77" spans="1:9" s="10" customFormat="1" ht="15" customHeight="1">
      <c r="A77" s="130">
        <v>72</v>
      </c>
      <c r="B77" s="45"/>
      <c r="C77" s="37"/>
      <c r="D77" s="38"/>
      <c r="E77" s="39"/>
      <c r="F77" s="39"/>
      <c r="G77" s="40"/>
      <c r="H77" s="17"/>
      <c r="I77" s="132"/>
    </row>
    <row r="78" spans="1:9" s="10" customFormat="1" ht="15" customHeight="1">
      <c r="A78" s="130">
        <v>73</v>
      </c>
      <c r="B78" s="45"/>
      <c r="C78" s="37"/>
      <c r="D78" s="38"/>
      <c r="E78" s="39"/>
      <c r="F78" s="39"/>
      <c r="G78" s="40"/>
      <c r="H78" s="17"/>
      <c r="I78" s="132"/>
    </row>
    <row r="79" spans="1:9" s="10" customFormat="1" ht="15" customHeight="1">
      <c r="A79" s="130">
        <v>74</v>
      </c>
      <c r="B79" s="45"/>
      <c r="C79" s="37"/>
      <c r="D79" s="38"/>
      <c r="E79" s="39"/>
      <c r="F79" s="39"/>
      <c r="G79" s="40"/>
      <c r="H79" s="17"/>
      <c r="I79" s="132"/>
    </row>
    <row r="80" spans="1:9" s="10" customFormat="1" ht="15" customHeight="1">
      <c r="A80" s="130">
        <v>75</v>
      </c>
      <c r="B80" s="45"/>
      <c r="C80" s="37"/>
      <c r="D80" s="38"/>
      <c r="E80" s="39"/>
      <c r="F80" s="39"/>
      <c r="G80" s="40"/>
      <c r="H80" s="17"/>
      <c r="I80" s="132"/>
    </row>
    <row r="81" spans="1:9" s="10" customFormat="1" ht="15" customHeight="1">
      <c r="A81" s="130">
        <v>76</v>
      </c>
      <c r="B81" s="45"/>
      <c r="C81" s="37"/>
      <c r="D81" s="38"/>
      <c r="E81" s="39"/>
      <c r="F81" s="39"/>
      <c r="G81" s="40"/>
      <c r="H81" s="17"/>
      <c r="I81" s="132"/>
    </row>
    <row r="82" spans="1:9" s="10" customFormat="1" ht="15" customHeight="1">
      <c r="A82" s="130">
        <v>77</v>
      </c>
      <c r="B82" s="45"/>
      <c r="C82" s="37"/>
      <c r="D82" s="38"/>
      <c r="E82" s="39"/>
      <c r="F82" s="39"/>
      <c r="G82" s="40"/>
      <c r="H82" s="17"/>
      <c r="I82" s="132"/>
    </row>
    <row r="83" spans="1:9" s="10" customFormat="1" ht="15" customHeight="1">
      <c r="A83" s="130">
        <v>78</v>
      </c>
      <c r="B83" s="45"/>
      <c r="C83" s="37"/>
      <c r="D83" s="38"/>
      <c r="E83" s="39"/>
      <c r="F83" s="39"/>
      <c r="G83" s="40"/>
      <c r="H83" s="17"/>
      <c r="I83" s="132"/>
    </row>
    <row r="84" spans="1:9" s="10" customFormat="1" ht="15" customHeight="1">
      <c r="A84" s="130">
        <v>79</v>
      </c>
      <c r="B84" s="45"/>
      <c r="C84" s="37"/>
      <c r="D84" s="38"/>
      <c r="E84" s="39"/>
      <c r="F84" s="39"/>
      <c r="G84" s="40"/>
      <c r="H84" s="17"/>
      <c r="I84" s="132"/>
    </row>
    <row r="85" spans="1:9" s="10" customFormat="1" ht="15" customHeight="1">
      <c r="A85" s="130">
        <v>80</v>
      </c>
      <c r="B85" s="45"/>
      <c r="C85" s="37"/>
      <c r="D85" s="39"/>
      <c r="E85" s="39"/>
      <c r="F85" s="39"/>
      <c r="G85" s="40"/>
      <c r="H85" s="17"/>
      <c r="I85" s="132"/>
    </row>
    <row r="86" spans="1:9" s="10" customFormat="1" ht="15" customHeight="1">
      <c r="A86" s="130">
        <v>81</v>
      </c>
      <c r="B86" s="45"/>
      <c r="C86" s="37"/>
      <c r="D86" s="39"/>
      <c r="E86" s="39"/>
      <c r="F86" s="39"/>
      <c r="G86" s="40"/>
      <c r="H86" s="17"/>
      <c r="I86" s="132"/>
    </row>
    <row r="87" spans="1:9" s="10" customFormat="1" ht="15" customHeight="1">
      <c r="A87" s="130">
        <v>82</v>
      </c>
      <c r="B87" s="45"/>
      <c r="C87" s="37"/>
      <c r="D87" s="39"/>
      <c r="E87" s="39"/>
      <c r="F87" s="39"/>
      <c r="G87" s="40"/>
      <c r="H87" s="17"/>
      <c r="I87" s="132"/>
    </row>
    <row r="88" spans="1:9" s="10" customFormat="1" ht="15" customHeight="1">
      <c r="A88" s="130">
        <v>83</v>
      </c>
      <c r="B88" s="45"/>
      <c r="C88" s="37"/>
      <c r="D88" s="39"/>
      <c r="E88" s="39"/>
      <c r="F88" s="39"/>
      <c r="G88" s="40"/>
      <c r="H88" s="17"/>
      <c r="I88" s="132"/>
    </row>
    <row r="89" spans="1:9" s="10" customFormat="1" ht="15" customHeight="1">
      <c r="A89" s="130">
        <v>84</v>
      </c>
      <c r="B89" s="45"/>
      <c r="C89" s="37"/>
      <c r="D89" s="39"/>
      <c r="E89" s="39"/>
      <c r="F89" s="39"/>
      <c r="G89" s="40"/>
      <c r="H89" s="17"/>
      <c r="I89" s="132"/>
    </row>
    <row r="90" spans="1:9" s="10" customFormat="1" ht="15" customHeight="1">
      <c r="A90" s="130">
        <v>85</v>
      </c>
      <c r="B90" s="45"/>
      <c r="C90" s="37"/>
      <c r="D90" s="39"/>
      <c r="E90" s="39"/>
      <c r="F90" s="39"/>
      <c r="G90" s="40"/>
      <c r="H90" s="17"/>
      <c r="I90" s="132"/>
    </row>
    <row r="91" spans="1:9" s="10" customFormat="1" ht="15" customHeight="1">
      <c r="A91" s="130">
        <v>86</v>
      </c>
      <c r="B91" s="45"/>
      <c r="C91" s="37"/>
      <c r="D91" s="39"/>
      <c r="E91" s="39"/>
      <c r="F91" s="39"/>
      <c r="G91" s="40"/>
      <c r="H91" s="17"/>
      <c r="I91" s="132"/>
    </row>
    <row r="92" spans="1:9" s="10" customFormat="1" ht="15" customHeight="1">
      <c r="A92" s="130">
        <v>87</v>
      </c>
      <c r="B92" s="45"/>
      <c r="C92" s="37"/>
      <c r="D92" s="39"/>
      <c r="E92" s="39"/>
      <c r="F92" s="39"/>
      <c r="G92" s="40"/>
      <c r="H92" s="17"/>
      <c r="I92" s="132"/>
    </row>
    <row r="93" spans="1:9" s="10" customFormat="1" ht="15" customHeight="1">
      <c r="A93" s="130">
        <v>88</v>
      </c>
      <c r="B93" s="45"/>
      <c r="C93" s="37"/>
      <c r="D93" s="39"/>
      <c r="E93" s="39"/>
      <c r="F93" s="39"/>
      <c r="G93" s="40"/>
      <c r="H93" s="17"/>
      <c r="I93" s="132"/>
    </row>
    <row r="94" spans="1:9" s="10" customFormat="1" ht="15" customHeight="1">
      <c r="A94" s="130">
        <v>89</v>
      </c>
      <c r="B94" s="45"/>
      <c r="C94" s="37"/>
      <c r="D94" s="39"/>
      <c r="E94" s="39"/>
      <c r="F94" s="39"/>
      <c r="G94" s="40"/>
      <c r="H94" s="17"/>
      <c r="I94" s="132"/>
    </row>
    <row r="95" spans="1:9" s="10" customFormat="1" ht="15" customHeight="1">
      <c r="A95" s="130">
        <v>90</v>
      </c>
      <c r="B95" s="45"/>
      <c r="C95" s="37"/>
      <c r="D95" s="39"/>
      <c r="E95" s="39"/>
      <c r="F95" s="39"/>
      <c r="G95" s="40"/>
      <c r="H95" s="17"/>
      <c r="I95" s="132"/>
    </row>
    <row r="96" spans="1:9" s="10" customFormat="1" ht="15" customHeight="1">
      <c r="A96" s="130">
        <v>91</v>
      </c>
      <c r="B96" s="45"/>
      <c r="C96" s="37"/>
      <c r="D96" s="39"/>
      <c r="E96" s="39"/>
      <c r="F96" s="39"/>
      <c r="G96" s="40"/>
      <c r="H96" s="17"/>
      <c r="I96" s="132"/>
    </row>
    <row r="97" spans="1:9" s="10" customFormat="1" ht="15" customHeight="1">
      <c r="A97" s="130">
        <v>92</v>
      </c>
      <c r="B97" s="45"/>
      <c r="C97" s="37"/>
      <c r="D97" s="39"/>
      <c r="E97" s="39"/>
      <c r="F97" s="39"/>
      <c r="G97" s="40"/>
      <c r="H97" s="17"/>
      <c r="I97" s="132"/>
    </row>
    <row r="98" spans="1:9" s="10" customFormat="1" ht="15" customHeight="1">
      <c r="A98" s="130">
        <v>93</v>
      </c>
      <c r="B98" s="45"/>
      <c r="C98" s="37"/>
      <c r="D98" s="39"/>
      <c r="E98" s="39"/>
      <c r="F98" s="39"/>
      <c r="G98" s="40"/>
      <c r="H98" s="17"/>
      <c r="I98" s="132"/>
    </row>
    <row r="99" spans="1:9" s="10" customFormat="1" ht="15" customHeight="1">
      <c r="A99" s="130">
        <v>94</v>
      </c>
      <c r="B99" s="45"/>
      <c r="C99" s="37"/>
      <c r="D99" s="39"/>
      <c r="E99" s="39"/>
      <c r="F99" s="39"/>
      <c r="G99" s="40"/>
      <c r="H99" s="17"/>
      <c r="I99" s="132"/>
    </row>
    <row r="100" spans="1:9" s="10" customFormat="1" ht="15" customHeight="1">
      <c r="A100" s="130">
        <v>95</v>
      </c>
      <c r="B100" s="45"/>
      <c r="C100" s="37"/>
      <c r="D100" s="39"/>
      <c r="E100" s="39"/>
      <c r="F100" s="39"/>
      <c r="G100" s="40"/>
      <c r="H100" s="17"/>
      <c r="I100" s="132"/>
    </row>
    <row r="101" spans="1:9" s="10" customFormat="1" ht="15" customHeight="1">
      <c r="A101" s="130">
        <v>96</v>
      </c>
      <c r="B101" s="32"/>
      <c r="C101" s="46"/>
      <c r="D101" s="17"/>
      <c r="E101" s="17"/>
      <c r="F101" s="17"/>
      <c r="G101" s="28"/>
      <c r="H101" s="17"/>
      <c r="I101" s="132"/>
    </row>
    <row r="102" spans="1:9" s="10" customFormat="1" ht="15" customHeight="1">
      <c r="A102" s="130">
        <v>97</v>
      </c>
      <c r="B102" s="32"/>
      <c r="C102" s="15"/>
      <c r="D102" s="17"/>
      <c r="E102" s="17"/>
      <c r="F102" s="17"/>
      <c r="G102" s="28"/>
      <c r="H102" s="17"/>
      <c r="I102" s="132"/>
    </row>
    <row r="103" spans="1:9" s="10" customFormat="1" ht="15" customHeight="1">
      <c r="A103" s="130">
        <v>98</v>
      </c>
      <c r="B103" s="32"/>
      <c r="C103" s="15"/>
      <c r="D103" s="17"/>
      <c r="E103" s="17"/>
      <c r="F103" s="17"/>
      <c r="G103" s="28"/>
      <c r="H103" s="17"/>
      <c r="I103" s="132"/>
    </row>
    <row r="104" spans="1:9" s="10" customFormat="1" ht="15" customHeight="1">
      <c r="A104" s="130">
        <v>99</v>
      </c>
      <c r="B104" s="32"/>
      <c r="C104" s="15"/>
      <c r="D104" s="17"/>
      <c r="E104" s="17"/>
      <c r="F104" s="17"/>
      <c r="G104" s="28"/>
      <c r="H104" s="17"/>
      <c r="I104" s="132"/>
    </row>
    <row r="105" spans="1:9" s="10" customFormat="1" ht="15" customHeight="1">
      <c r="A105" s="133">
        <v>100</v>
      </c>
      <c r="B105" s="134"/>
      <c r="C105" s="138"/>
      <c r="D105" s="135"/>
      <c r="E105" s="135"/>
      <c r="F105" s="135"/>
      <c r="G105" s="136"/>
      <c r="H105" s="135"/>
      <c r="I105" s="137"/>
    </row>
    <row r="106" spans="1:9" ht="20.25">
      <c r="B106" s="41"/>
      <c r="C106" s="42"/>
      <c r="D106" s="42"/>
      <c r="E106" s="42"/>
      <c r="F106" s="42"/>
      <c r="G106" s="42"/>
      <c r="H106" s="42"/>
      <c r="I106" s="42"/>
    </row>
  </sheetData>
  <autoFilter ref="B5:G105" xr:uid="{CE6C056B-1174-47E5-B58F-BD1F5280A530}"/>
  <mergeCells count="5">
    <mergeCell ref="A1:A5"/>
    <mergeCell ref="B1:I2"/>
    <mergeCell ref="H3:I3"/>
    <mergeCell ref="B3:B4"/>
    <mergeCell ref="C3:C4"/>
  </mergeCells>
  <dataValidations count="1">
    <dataValidation allowBlank="1" showErrorMessage="1" sqref="C5:D5" xr:uid="{53B25712-EE24-4F35-8AD4-AD8C7F45EA0C}"/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743CAA0-C070-4890-A061-AB694DF4EC6E}">
          <x14:formula1>
            <xm:f>DATA!$B$4:$B$10</xm:f>
          </x14:formula1>
          <xm:sqref>H4</xm:sqref>
        </x14:dataValidation>
        <x14:dataValidation type="list" allowBlank="1" showInputMessage="1" showErrorMessage="1" xr:uid="{AD777DF6-C5DA-4CFE-922E-67102EE18D70}">
          <x14:formula1>
            <xm:f>DATA!$C$2:$C$6</xm:f>
          </x14:formula1>
          <xm:sqref>G6:G105 F23</xm:sqref>
        </x14:dataValidation>
        <x14:dataValidation type="list" allowBlank="1" showErrorMessage="1" xr:uid="{E3547A1B-F1F6-458D-9A2A-22623921283F}">
          <x14:formula1>
            <xm:f>DATA!$D$2:$D$17</xm:f>
          </x14:formula1>
          <xm:sqref>C6:C105</xm:sqref>
        </x14:dataValidation>
        <x14:dataValidation type="list" allowBlank="1" showInputMessage="1" showErrorMessage="1" xr:uid="{4D27A017-32A5-43FD-8F11-F7249F57AD4B}">
          <x14:formula1>
            <xm:f>DATA!$B$2:$B$20</xm:f>
          </x14:formula1>
          <xm:sqref>I6:I7 D6:D105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00FB0-C260-45A5-A495-78C31CCE0EF4}">
  <sheetPr codeName="Planilha16"/>
  <dimension ref="A1:L106"/>
  <sheetViews>
    <sheetView topLeftCell="A67" zoomScale="90" zoomScaleNormal="90" workbookViewId="0">
      <selection activeCell="R7" sqref="R7:S7"/>
    </sheetView>
  </sheetViews>
  <sheetFormatPr defaultRowHeight="15"/>
  <cols>
    <col min="1" max="1" width="4.42578125" style="49" customWidth="1"/>
    <col min="2" max="2" width="40.7109375" style="43" customWidth="1"/>
    <col min="3" max="3" width="55.7109375" style="44" customWidth="1"/>
    <col min="4" max="4" width="30.7109375" style="44" customWidth="1"/>
    <col min="5" max="5" width="20.7109375" style="44" customWidth="1"/>
    <col min="6" max="6" width="30.7109375" style="44" customWidth="1"/>
    <col min="7" max="7" width="20.7109375" style="44" customWidth="1"/>
    <col min="8" max="8" width="34.7109375" style="44" customWidth="1"/>
    <col min="9" max="9" width="19.7109375" style="44" customWidth="1"/>
    <col min="10" max="10" width="10.5703125" style="10" bestFit="1" customWidth="1"/>
    <col min="11" max="12" width="9.140625" style="10"/>
    <col min="13" max="16384" width="9.140625" style="8"/>
  </cols>
  <sheetData>
    <row r="1" spans="1:10" ht="15" customHeight="1">
      <c r="A1" s="139" t="s">
        <v>58</v>
      </c>
      <c r="B1" s="100" t="s">
        <v>59</v>
      </c>
      <c r="C1" s="101"/>
      <c r="D1" s="101"/>
      <c r="E1" s="101"/>
      <c r="F1" s="101"/>
      <c r="G1" s="101"/>
      <c r="H1" s="101"/>
      <c r="I1" s="102"/>
      <c r="J1" s="9"/>
    </row>
    <row r="2" spans="1:10" ht="33.75" customHeight="1">
      <c r="A2" s="140"/>
      <c r="B2" s="103"/>
      <c r="C2" s="94"/>
      <c r="D2" s="94"/>
      <c r="E2" s="94"/>
      <c r="F2" s="94"/>
      <c r="G2" s="94"/>
      <c r="H2" s="94"/>
      <c r="I2" s="104"/>
      <c r="J2" s="9"/>
    </row>
    <row r="3" spans="1:10" ht="42.75" customHeight="1">
      <c r="A3" s="140"/>
      <c r="B3" s="105" t="s">
        <v>25</v>
      </c>
      <c r="C3" s="98">
        <f>E3-E4-(SUMIFS(E6:E105,G6:G105,"Reserva") + SUMIFS(E6:E105,G6:G105,"Investimento"))</f>
        <v>0</v>
      </c>
      <c r="D3" s="35" t="s">
        <v>36</v>
      </c>
      <c r="E3" s="65">
        <f>SUMIF(($G$6:$G$105),"Receita",($E$6:$E$105))</f>
        <v>0</v>
      </c>
      <c r="F3" s="67" t="s">
        <v>38</v>
      </c>
      <c r="G3" s="34">
        <f>SUMIF(($G$6:$G$105),"Custo",($E$6:$E$105))</f>
        <v>0</v>
      </c>
      <c r="H3" s="95" t="s">
        <v>56</v>
      </c>
      <c r="I3" s="106"/>
    </row>
    <row r="4" spans="1:10" ht="31.5" customHeight="1">
      <c r="A4" s="140"/>
      <c r="B4" s="107"/>
      <c r="C4" s="99"/>
      <c r="D4" s="35" t="s">
        <v>37</v>
      </c>
      <c r="E4" s="65">
        <f>G3+G4</f>
        <v>0</v>
      </c>
      <c r="F4" s="67" t="s">
        <v>39</v>
      </c>
      <c r="G4" s="34">
        <f>SUMIF(($G$6:$G$105),"Gasto",($E$6:$E$105))</f>
        <v>0</v>
      </c>
      <c r="H4" s="66" t="s">
        <v>0</v>
      </c>
      <c r="I4" s="108">
        <f>SUMIF(D6:D105,H4,E6:E105)</f>
        <v>0</v>
      </c>
    </row>
    <row r="5" spans="1:10" ht="23.25" customHeight="1">
      <c r="A5" s="140"/>
      <c r="B5" s="109" t="s">
        <v>20</v>
      </c>
      <c r="C5" s="13" t="s">
        <v>15</v>
      </c>
      <c r="D5" s="13" t="s">
        <v>16</v>
      </c>
      <c r="E5" s="13" t="s">
        <v>17</v>
      </c>
      <c r="F5" s="13" t="s">
        <v>18</v>
      </c>
      <c r="G5" s="13" t="s">
        <v>19</v>
      </c>
      <c r="H5" s="14"/>
      <c r="I5" s="110"/>
    </row>
    <row r="6" spans="1:10" s="10" customFormat="1" ht="20.100000000000001" customHeight="1">
      <c r="A6" s="141">
        <v>1</v>
      </c>
      <c r="B6" s="111"/>
      <c r="C6" s="30"/>
      <c r="D6" s="29"/>
      <c r="E6" s="61"/>
      <c r="F6" s="62"/>
      <c r="G6" s="30"/>
      <c r="H6" s="33"/>
      <c r="I6" s="112"/>
      <c r="J6" s="11"/>
    </row>
    <row r="7" spans="1:10" s="10" customFormat="1" ht="20.100000000000001" customHeight="1">
      <c r="A7" s="141">
        <v>2</v>
      </c>
      <c r="B7" s="111"/>
      <c r="C7" s="30"/>
      <c r="D7" s="29"/>
      <c r="E7" s="61"/>
      <c r="F7" s="62"/>
      <c r="G7" s="30"/>
      <c r="H7" s="33"/>
      <c r="I7" s="112"/>
      <c r="J7" s="12"/>
    </row>
    <row r="8" spans="1:10" s="10" customFormat="1" ht="20.100000000000001" customHeight="1">
      <c r="A8" s="141">
        <v>3</v>
      </c>
      <c r="B8" s="111"/>
      <c r="C8" s="29"/>
      <c r="D8" s="29"/>
      <c r="E8" s="61"/>
      <c r="F8" s="62"/>
      <c r="G8" s="30"/>
      <c r="H8" s="33"/>
      <c r="I8" s="112"/>
      <c r="J8" s="12"/>
    </row>
    <row r="9" spans="1:10" s="10" customFormat="1" ht="20.100000000000001" customHeight="1">
      <c r="A9" s="141">
        <v>4</v>
      </c>
      <c r="B9" s="111"/>
      <c r="C9" s="29"/>
      <c r="D9" s="29"/>
      <c r="E9" s="61"/>
      <c r="F9" s="62"/>
      <c r="G9" s="30"/>
      <c r="H9" s="33"/>
      <c r="I9" s="112"/>
      <c r="J9" s="12"/>
    </row>
    <row r="10" spans="1:10" s="10" customFormat="1" ht="20.100000000000001" customHeight="1">
      <c r="A10" s="141">
        <v>5</v>
      </c>
      <c r="B10" s="111"/>
      <c r="C10" s="29"/>
      <c r="D10" s="29"/>
      <c r="E10" s="61"/>
      <c r="F10" s="62"/>
      <c r="G10" s="30"/>
      <c r="H10" s="33"/>
      <c r="I10" s="112"/>
      <c r="J10" s="12"/>
    </row>
    <row r="11" spans="1:10" s="10" customFormat="1" ht="20.100000000000001" customHeight="1">
      <c r="A11" s="141">
        <v>6</v>
      </c>
      <c r="B11" s="113"/>
      <c r="C11" s="29"/>
      <c r="D11" s="29"/>
      <c r="E11" s="22"/>
      <c r="F11" s="25"/>
      <c r="G11" s="30"/>
      <c r="H11" s="33"/>
      <c r="I11" s="112"/>
      <c r="J11" s="12"/>
    </row>
    <row r="12" spans="1:10" s="10" customFormat="1" ht="20.100000000000001" customHeight="1">
      <c r="A12" s="141">
        <v>7</v>
      </c>
      <c r="B12" s="113"/>
      <c r="C12" s="29"/>
      <c r="D12" s="29"/>
      <c r="E12" s="22"/>
      <c r="F12" s="25"/>
      <c r="G12" s="30"/>
      <c r="H12" s="114"/>
      <c r="I12" s="112"/>
      <c r="J12" s="12"/>
    </row>
    <row r="13" spans="1:10" s="10" customFormat="1" ht="20.100000000000001" customHeight="1">
      <c r="A13" s="141">
        <v>8</v>
      </c>
      <c r="B13" s="113"/>
      <c r="C13" s="30"/>
      <c r="D13" s="29"/>
      <c r="E13" s="22"/>
      <c r="F13" s="25"/>
      <c r="G13" s="30"/>
      <c r="H13" s="114"/>
      <c r="I13" s="115"/>
    </row>
    <row r="14" spans="1:10" s="10" customFormat="1" ht="20.100000000000001" customHeight="1">
      <c r="A14" s="141">
        <v>9</v>
      </c>
      <c r="B14" s="113"/>
      <c r="C14" s="30"/>
      <c r="D14" s="29"/>
      <c r="E14" s="22"/>
      <c r="F14" s="25"/>
      <c r="G14" s="30"/>
      <c r="H14" s="33"/>
      <c r="I14" s="115"/>
    </row>
    <row r="15" spans="1:10" s="10" customFormat="1" ht="20.100000000000001" customHeight="1">
      <c r="A15" s="141">
        <v>10</v>
      </c>
      <c r="B15" s="113"/>
      <c r="C15" s="29"/>
      <c r="D15" s="29"/>
      <c r="E15" s="22"/>
      <c r="F15" s="25"/>
      <c r="G15" s="30"/>
      <c r="H15" s="33"/>
      <c r="I15" s="115"/>
    </row>
    <row r="16" spans="1:10" s="10" customFormat="1" ht="20.100000000000001" customHeight="1">
      <c r="A16" s="141">
        <v>11</v>
      </c>
      <c r="B16" s="113"/>
      <c r="C16" s="29"/>
      <c r="D16" s="29"/>
      <c r="E16" s="22"/>
      <c r="F16" s="25"/>
      <c r="G16" s="29"/>
      <c r="H16" s="33"/>
      <c r="I16" s="115"/>
    </row>
    <row r="17" spans="1:9" s="10" customFormat="1" ht="20.100000000000001" customHeight="1">
      <c r="A17" s="141">
        <v>12</v>
      </c>
      <c r="B17" s="113"/>
      <c r="C17" s="29"/>
      <c r="D17" s="29"/>
      <c r="E17" s="22"/>
      <c r="F17" s="25"/>
      <c r="G17" s="30"/>
      <c r="H17" s="33"/>
      <c r="I17" s="115"/>
    </row>
    <row r="18" spans="1:9" s="10" customFormat="1" ht="20.100000000000001" customHeight="1">
      <c r="A18" s="141">
        <v>13</v>
      </c>
      <c r="B18" s="113"/>
      <c r="C18" s="29"/>
      <c r="D18" s="29"/>
      <c r="E18" s="22"/>
      <c r="F18" s="25"/>
      <c r="G18" s="30"/>
      <c r="H18" s="114"/>
      <c r="I18" s="115"/>
    </row>
    <row r="19" spans="1:9" s="10" customFormat="1" ht="20.100000000000001" customHeight="1">
      <c r="A19" s="141">
        <v>14</v>
      </c>
      <c r="B19" s="111"/>
      <c r="C19" s="30"/>
      <c r="D19" s="30"/>
      <c r="E19" s="61"/>
      <c r="F19" s="62"/>
      <c r="G19" s="30"/>
      <c r="H19" s="114"/>
      <c r="I19" s="115"/>
    </row>
    <row r="20" spans="1:9" s="10" customFormat="1" ht="20.100000000000001" customHeight="1">
      <c r="A20" s="141">
        <v>15</v>
      </c>
      <c r="B20" s="113"/>
      <c r="C20" s="30"/>
      <c r="D20" s="30"/>
      <c r="E20" s="22"/>
      <c r="F20" s="25"/>
      <c r="G20" s="30"/>
      <c r="H20" s="33"/>
      <c r="I20" s="115"/>
    </row>
    <row r="21" spans="1:9" s="10" customFormat="1" ht="20.100000000000001" customHeight="1">
      <c r="A21" s="141">
        <v>16</v>
      </c>
      <c r="B21" s="111"/>
      <c r="C21" s="30"/>
      <c r="D21" s="30"/>
      <c r="E21" s="61"/>
      <c r="F21" s="62"/>
      <c r="G21" s="30"/>
      <c r="H21" s="33"/>
      <c r="I21" s="115"/>
    </row>
    <row r="22" spans="1:9" s="10" customFormat="1" ht="20.100000000000001" customHeight="1">
      <c r="A22" s="141">
        <v>17</v>
      </c>
      <c r="B22" s="111"/>
      <c r="C22" s="29"/>
      <c r="D22" s="30"/>
      <c r="E22" s="61"/>
      <c r="F22" s="62"/>
      <c r="G22" s="30"/>
      <c r="H22" s="33"/>
      <c r="I22" s="115"/>
    </row>
    <row r="23" spans="1:9" s="10" customFormat="1" ht="20.100000000000001" customHeight="1">
      <c r="A23" s="141">
        <v>18</v>
      </c>
      <c r="B23" s="111"/>
      <c r="C23" s="30"/>
      <c r="D23" s="30"/>
      <c r="E23" s="61"/>
      <c r="F23" s="62"/>
      <c r="G23" s="30"/>
      <c r="H23" s="33"/>
      <c r="I23" s="115"/>
    </row>
    <row r="24" spans="1:9" s="10" customFormat="1" ht="20.100000000000001" customHeight="1">
      <c r="A24" s="141">
        <v>19</v>
      </c>
      <c r="B24" s="111"/>
      <c r="C24" s="29"/>
      <c r="D24" s="30"/>
      <c r="E24" s="61"/>
      <c r="F24" s="62"/>
      <c r="G24" s="30"/>
      <c r="H24" s="33"/>
      <c r="I24" s="115"/>
    </row>
    <row r="25" spans="1:9" s="10" customFormat="1" ht="20.100000000000001" customHeight="1">
      <c r="A25" s="141">
        <v>20</v>
      </c>
      <c r="B25" s="111"/>
      <c r="C25" s="29"/>
      <c r="D25" s="29"/>
      <c r="E25" s="61"/>
      <c r="F25" s="62"/>
      <c r="G25" s="30"/>
      <c r="H25" s="33"/>
      <c r="I25" s="115"/>
    </row>
    <row r="26" spans="1:9" s="10" customFormat="1" ht="20.100000000000001" customHeight="1">
      <c r="A26" s="141">
        <v>21</v>
      </c>
      <c r="B26" s="111"/>
      <c r="C26" s="29"/>
      <c r="D26" s="29"/>
      <c r="E26" s="61"/>
      <c r="F26" s="62"/>
      <c r="G26" s="30"/>
      <c r="H26" s="33"/>
      <c r="I26" s="115"/>
    </row>
    <row r="27" spans="1:9" s="10" customFormat="1" ht="20.100000000000001" customHeight="1">
      <c r="A27" s="141">
        <v>22</v>
      </c>
      <c r="B27" s="111"/>
      <c r="C27" s="30"/>
      <c r="D27" s="29"/>
      <c r="E27" s="61"/>
      <c r="F27" s="62"/>
      <c r="G27" s="30"/>
      <c r="H27" s="33"/>
      <c r="I27" s="115"/>
    </row>
    <row r="28" spans="1:9" s="10" customFormat="1" ht="20.100000000000001" customHeight="1">
      <c r="A28" s="141">
        <v>23</v>
      </c>
      <c r="B28" s="111"/>
      <c r="C28" s="30"/>
      <c r="D28" s="29"/>
      <c r="E28" s="61"/>
      <c r="F28" s="62"/>
      <c r="G28" s="30"/>
      <c r="H28" s="33"/>
      <c r="I28" s="115"/>
    </row>
    <row r="29" spans="1:9" s="10" customFormat="1" ht="20.100000000000001" customHeight="1">
      <c r="A29" s="141">
        <v>24</v>
      </c>
      <c r="B29" s="111"/>
      <c r="C29" s="30"/>
      <c r="D29" s="30"/>
      <c r="E29" s="61"/>
      <c r="F29" s="62"/>
      <c r="G29" s="30"/>
      <c r="H29" s="33"/>
      <c r="I29" s="115"/>
    </row>
    <row r="30" spans="1:9" s="10" customFormat="1" ht="20.100000000000001" customHeight="1">
      <c r="A30" s="141">
        <v>25</v>
      </c>
      <c r="B30" s="111"/>
      <c r="C30" s="30"/>
      <c r="D30" s="30"/>
      <c r="E30" s="61"/>
      <c r="F30" s="62"/>
      <c r="G30" s="30"/>
      <c r="H30" s="33"/>
      <c r="I30" s="115"/>
    </row>
    <row r="31" spans="1:9" s="10" customFormat="1" ht="20.100000000000001" customHeight="1">
      <c r="A31" s="141">
        <v>26</v>
      </c>
      <c r="B31" s="111"/>
      <c r="C31" s="30"/>
      <c r="D31" s="29"/>
      <c r="E31" s="61"/>
      <c r="F31" s="62"/>
      <c r="G31" s="30"/>
      <c r="H31" s="33"/>
      <c r="I31" s="115"/>
    </row>
    <row r="32" spans="1:9" s="10" customFormat="1" ht="20.100000000000001" customHeight="1">
      <c r="A32" s="141">
        <v>27</v>
      </c>
      <c r="B32" s="111"/>
      <c r="C32" s="30"/>
      <c r="D32" s="30"/>
      <c r="E32" s="61"/>
      <c r="F32" s="62"/>
      <c r="G32" s="30"/>
      <c r="H32" s="33"/>
      <c r="I32" s="115"/>
    </row>
    <row r="33" spans="1:9" s="10" customFormat="1" ht="20.100000000000001" customHeight="1">
      <c r="A33" s="141">
        <v>28</v>
      </c>
      <c r="B33" s="111"/>
      <c r="C33" s="30"/>
      <c r="D33" s="30"/>
      <c r="E33" s="61"/>
      <c r="F33" s="62"/>
      <c r="G33" s="30"/>
      <c r="H33" s="33"/>
      <c r="I33" s="115"/>
    </row>
    <row r="34" spans="1:9" s="10" customFormat="1" ht="20.100000000000001" customHeight="1">
      <c r="A34" s="141">
        <v>29</v>
      </c>
      <c r="B34" s="111"/>
      <c r="C34" s="30"/>
      <c r="D34" s="30"/>
      <c r="E34" s="61"/>
      <c r="F34" s="62"/>
      <c r="G34" s="30"/>
      <c r="H34" s="33"/>
      <c r="I34" s="115"/>
    </row>
    <row r="35" spans="1:9" s="10" customFormat="1" ht="20.100000000000001" customHeight="1">
      <c r="A35" s="141">
        <v>30</v>
      </c>
      <c r="B35" s="111"/>
      <c r="C35" s="30"/>
      <c r="D35" s="30"/>
      <c r="E35" s="61"/>
      <c r="F35" s="62"/>
      <c r="G35" s="30"/>
      <c r="H35" s="33"/>
      <c r="I35" s="115"/>
    </row>
    <row r="36" spans="1:9" s="10" customFormat="1" ht="20.100000000000001" customHeight="1">
      <c r="A36" s="141">
        <v>31</v>
      </c>
      <c r="B36" s="111"/>
      <c r="C36" s="30"/>
      <c r="D36" s="30"/>
      <c r="E36" s="61"/>
      <c r="F36" s="62"/>
      <c r="G36" s="30"/>
      <c r="H36" s="33"/>
      <c r="I36" s="115"/>
    </row>
    <row r="37" spans="1:9" s="10" customFormat="1" ht="20.100000000000001" customHeight="1">
      <c r="A37" s="141">
        <v>32</v>
      </c>
      <c r="B37" s="111"/>
      <c r="C37" s="30"/>
      <c r="D37" s="33"/>
      <c r="E37" s="33"/>
      <c r="F37" s="62"/>
      <c r="G37" s="30"/>
      <c r="H37" s="33"/>
      <c r="I37" s="115"/>
    </row>
    <row r="38" spans="1:9" s="10" customFormat="1" ht="20.100000000000001" customHeight="1">
      <c r="A38" s="141">
        <v>33</v>
      </c>
      <c r="B38" s="111"/>
      <c r="C38" s="30"/>
      <c r="D38" s="33"/>
      <c r="E38" s="33"/>
      <c r="F38" s="62"/>
      <c r="G38" s="30"/>
      <c r="H38" s="33"/>
      <c r="I38" s="115"/>
    </row>
    <row r="39" spans="1:9" s="10" customFormat="1" ht="20.100000000000001" customHeight="1">
      <c r="A39" s="141">
        <v>34</v>
      </c>
      <c r="B39" s="111"/>
      <c r="C39" s="30"/>
      <c r="D39" s="33"/>
      <c r="E39" s="33"/>
      <c r="F39" s="62"/>
      <c r="G39" s="30"/>
      <c r="H39" s="33"/>
      <c r="I39" s="115"/>
    </row>
    <row r="40" spans="1:9" s="10" customFormat="1" ht="20.100000000000001" customHeight="1">
      <c r="A40" s="141">
        <v>35</v>
      </c>
      <c r="B40" s="111"/>
      <c r="C40" s="30"/>
      <c r="D40" s="33"/>
      <c r="E40" s="33"/>
      <c r="F40" s="62"/>
      <c r="G40" s="30"/>
      <c r="H40" s="33"/>
      <c r="I40" s="115"/>
    </row>
    <row r="41" spans="1:9" s="10" customFormat="1" ht="20.100000000000001" customHeight="1">
      <c r="A41" s="141">
        <v>36</v>
      </c>
      <c r="B41" s="111"/>
      <c r="C41" s="30"/>
      <c r="D41" s="33"/>
      <c r="E41" s="33"/>
      <c r="F41" s="62"/>
      <c r="G41" s="30"/>
      <c r="H41" s="33"/>
      <c r="I41" s="115"/>
    </row>
    <row r="42" spans="1:9" s="10" customFormat="1" ht="20.100000000000001" customHeight="1">
      <c r="A42" s="141">
        <v>37</v>
      </c>
      <c r="B42" s="111"/>
      <c r="C42" s="30"/>
      <c r="D42" s="33"/>
      <c r="E42" s="33"/>
      <c r="F42" s="62"/>
      <c r="G42" s="30"/>
      <c r="H42" s="33"/>
      <c r="I42" s="115"/>
    </row>
    <row r="43" spans="1:9" s="10" customFormat="1" ht="20.100000000000001" customHeight="1">
      <c r="A43" s="141">
        <v>38</v>
      </c>
      <c r="B43" s="116"/>
      <c r="C43" s="59"/>
      <c r="D43" s="63"/>
      <c r="E43" s="64"/>
      <c r="F43" s="87"/>
      <c r="G43" s="30"/>
      <c r="H43" s="33"/>
      <c r="I43" s="115"/>
    </row>
    <row r="44" spans="1:9" s="10" customFormat="1" ht="20.100000000000001" customHeight="1">
      <c r="A44" s="141">
        <v>39</v>
      </c>
      <c r="B44" s="116"/>
      <c r="C44" s="59"/>
      <c r="D44" s="63"/>
      <c r="E44" s="64"/>
      <c r="F44" s="87"/>
      <c r="G44" s="30"/>
      <c r="H44" s="33"/>
      <c r="I44" s="115"/>
    </row>
    <row r="45" spans="1:9" s="10" customFormat="1" ht="20.100000000000001" customHeight="1">
      <c r="A45" s="141">
        <v>40</v>
      </c>
      <c r="B45" s="116"/>
      <c r="C45" s="59"/>
      <c r="D45" s="63"/>
      <c r="E45" s="64"/>
      <c r="F45" s="87"/>
      <c r="G45" s="30"/>
      <c r="H45" s="33"/>
      <c r="I45" s="115"/>
    </row>
    <row r="46" spans="1:9" s="10" customFormat="1" ht="20.100000000000001" customHeight="1">
      <c r="A46" s="141">
        <v>41</v>
      </c>
      <c r="B46" s="116"/>
      <c r="C46" s="59"/>
      <c r="D46" s="63"/>
      <c r="E46" s="64"/>
      <c r="F46" s="87"/>
      <c r="G46" s="59"/>
      <c r="H46" s="33"/>
      <c r="I46" s="115"/>
    </row>
    <row r="47" spans="1:9" s="10" customFormat="1" ht="20.100000000000001" customHeight="1">
      <c r="A47" s="141">
        <v>42</v>
      </c>
      <c r="B47" s="116"/>
      <c r="C47" s="59"/>
      <c r="D47" s="63"/>
      <c r="E47" s="64"/>
      <c r="F47" s="87"/>
      <c r="G47" s="59"/>
      <c r="H47" s="33"/>
      <c r="I47" s="115"/>
    </row>
    <row r="48" spans="1:9" s="10" customFormat="1" ht="20.100000000000001" customHeight="1">
      <c r="A48" s="141">
        <v>43</v>
      </c>
      <c r="B48" s="116"/>
      <c r="C48" s="59"/>
      <c r="D48" s="63"/>
      <c r="E48" s="64"/>
      <c r="F48" s="87"/>
      <c r="G48" s="59"/>
      <c r="H48" s="33"/>
      <c r="I48" s="115"/>
    </row>
    <row r="49" spans="1:9" s="10" customFormat="1" ht="20.100000000000001" customHeight="1">
      <c r="A49" s="141">
        <v>44</v>
      </c>
      <c r="B49" s="116"/>
      <c r="C49" s="59"/>
      <c r="D49" s="63"/>
      <c r="E49" s="64"/>
      <c r="F49" s="87"/>
      <c r="G49" s="59"/>
      <c r="H49" s="33"/>
      <c r="I49" s="115"/>
    </row>
    <row r="50" spans="1:9" s="10" customFormat="1" ht="20.100000000000001" customHeight="1">
      <c r="A50" s="141">
        <v>45</v>
      </c>
      <c r="B50" s="116"/>
      <c r="C50" s="59"/>
      <c r="D50" s="63"/>
      <c r="E50" s="64"/>
      <c r="F50" s="87"/>
      <c r="G50" s="59"/>
      <c r="H50" s="33"/>
      <c r="I50" s="115"/>
    </row>
    <row r="51" spans="1:9" s="10" customFormat="1" ht="20.100000000000001" customHeight="1">
      <c r="A51" s="141">
        <v>46</v>
      </c>
      <c r="B51" s="116"/>
      <c r="C51" s="59"/>
      <c r="D51" s="63"/>
      <c r="E51" s="64"/>
      <c r="F51" s="87"/>
      <c r="G51" s="59"/>
      <c r="H51" s="33"/>
      <c r="I51" s="115"/>
    </row>
    <row r="52" spans="1:9" s="10" customFormat="1" ht="20.100000000000001" customHeight="1">
      <c r="A52" s="141">
        <v>47</v>
      </c>
      <c r="B52" s="116"/>
      <c r="C52" s="59"/>
      <c r="D52" s="63"/>
      <c r="E52" s="64"/>
      <c r="F52" s="87"/>
      <c r="G52" s="59"/>
      <c r="H52" s="33"/>
      <c r="I52" s="115"/>
    </row>
    <row r="53" spans="1:9" s="10" customFormat="1" ht="20.100000000000001" customHeight="1">
      <c r="A53" s="141">
        <v>48</v>
      </c>
      <c r="B53" s="116"/>
      <c r="C53" s="59"/>
      <c r="D53" s="63"/>
      <c r="E53" s="64"/>
      <c r="F53" s="87"/>
      <c r="G53" s="59"/>
      <c r="H53" s="33"/>
      <c r="I53" s="115"/>
    </row>
    <row r="54" spans="1:9" s="10" customFormat="1" ht="20.100000000000001" customHeight="1">
      <c r="A54" s="141">
        <v>49</v>
      </c>
      <c r="B54" s="116"/>
      <c r="C54" s="59"/>
      <c r="D54" s="63"/>
      <c r="E54" s="64"/>
      <c r="F54" s="87"/>
      <c r="G54" s="59"/>
      <c r="H54" s="33"/>
      <c r="I54" s="115"/>
    </row>
    <row r="55" spans="1:9" s="10" customFormat="1" ht="20.100000000000001" customHeight="1">
      <c r="A55" s="141">
        <v>50</v>
      </c>
      <c r="B55" s="116"/>
      <c r="C55" s="59"/>
      <c r="D55" s="63"/>
      <c r="E55" s="64"/>
      <c r="F55" s="87"/>
      <c r="G55" s="59"/>
      <c r="H55" s="33"/>
      <c r="I55" s="115"/>
    </row>
    <row r="56" spans="1:9" s="10" customFormat="1" ht="20.100000000000001" customHeight="1">
      <c r="A56" s="141">
        <v>51</v>
      </c>
      <c r="B56" s="116"/>
      <c r="C56" s="59"/>
      <c r="D56" s="63"/>
      <c r="E56" s="64"/>
      <c r="F56" s="87"/>
      <c r="G56" s="59"/>
      <c r="H56" s="33"/>
      <c r="I56" s="115"/>
    </row>
    <row r="57" spans="1:9" s="10" customFormat="1" ht="20.100000000000001" customHeight="1">
      <c r="A57" s="141">
        <v>52</v>
      </c>
      <c r="B57" s="116"/>
      <c r="C57" s="59"/>
      <c r="D57" s="63"/>
      <c r="E57" s="64"/>
      <c r="F57" s="87"/>
      <c r="G57" s="59"/>
      <c r="H57" s="33"/>
      <c r="I57" s="115"/>
    </row>
    <row r="58" spans="1:9" s="10" customFormat="1" ht="20.100000000000001" customHeight="1">
      <c r="A58" s="141">
        <v>53</v>
      </c>
      <c r="B58" s="116"/>
      <c r="C58" s="59"/>
      <c r="D58" s="63"/>
      <c r="E58" s="64"/>
      <c r="F58" s="87"/>
      <c r="G58" s="59"/>
      <c r="H58" s="33"/>
      <c r="I58" s="115"/>
    </row>
    <row r="59" spans="1:9" s="10" customFormat="1" ht="20.100000000000001" customHeight="1">
      <c r="A59" s="141">
        <v>54</v>
      </c>
      <c r="B59" s="116"/>
      <c r="C59" s="59"/>
      <c r="D59" s="63"/>
      <c r="E59" s="64"/>
      <c r="F59" s="87"/>
      <c r="G59" s="59"/>
      <c r="H59" s="33"/>
      <c r="I59" s="115"/>
    </row>
    <row r="60" spans="1:9" s="10" customFormat="1" ht="20.100000000000001" customHeight="1">
      <c r="A60" s="141">
        <v>55</v>
      </c>
      <c r="B60" s="116"/>
      <c r="C60" s="59"/>
      <c r="D60" s="63"/>
      <c r="E60" s="64"/>
      <c r="F60" s="87"/>
      <c r="G60" s="59"/>
      <c r="H60" s="33"/>
      <c r="I60" s="115"/>
    </row>
    <row r="61" spans="1:9" s="10" customFormat="1" ht="20.100000000000001" customHeight="1">
      <c r="A61" s="141">
        <v>56</v>
      </c>
      <c r="B61" s="111"/>
      <c r="C61" s="30"/>
      <c r="D61" s="33"/>
      <c r="E61" s="33"/>
      <c r="F61" s="62"/>
      <c r="G61" s="59"/>
      <c r="H61" s="33"/>
      <c r="I61" s="115"/>
    </row>
    <row r="62" spans="1:9" s="10" customFormat="1" ht="20.100000000000001" customHeight="1">
      <c r="A62" s="141">
        <v>57</v>
      </c>
      <c r="B62" s="111"/>
      <c r="C62" s="30"/>
      <c r="D62" s="33"/>
      <c r="E62" s="33"/>
      <c r="F62" s="62"/>
      <c r="G62" s="59"/>
      <c r="H62" s="33"/>
      <c r="I62" s="115"/>
    </row>
    <row r="63" spans="1:9" s="10" customFormat="1" ht="20.100000000000001" customHeight="1">
      <c r="A63" s="141">
        <v>58</v>
      </c>
      <c r="B63" s="111"/>
      <c r="C63" s="30"/>
      <c r="D63" s="33"/>
      <c r="E63" s="33"/>
      <c r="F63" s="62"/>
      <c r="G63" s="59"/>
      <c r="H63" s="33"/>
      <c r="I63" s="115"/>
    </row>
    <row r="64" spans="1:9" s="10" customFormat="1" ht="20.100000000000001" customHeight="1">
      <c r="A64" s="141">
        <v>59</v>
      </c>
      <c r="B64" s="116"/>
      <c r="C64" s="59"/>
      <c r="D64" s="63"/>
      <c r="E64" s="64"/>
      <c r="F64" s="87"/>
      <c r="G64" s="59"/>
      <c r="H64" s="33"/>
      <c r="I64" s="115"/>
    </row>
    <row r="65" spans="1:9" s="10" customFormat="1" ht="20.100000000000001" customHeight="1">
      <c r="A65" s="141">
        <v>60</v>
      </c>
      <c r="B65" s="116"/>
      <c r="C65" s="59"/>
      <c r="D65" s="63"/>
      <c r="E65" s="64"/>
      <c r="F65" s="87"/>
      <c r="G65" s="59"/>
      <c r="H65" s="33"/>
      <c r="I65" s="115"/>
    </row>
    <row r="66" spans="1:9" s="10" customFormat="1" ht="20.100000000000001" customHeight="1">
      <c r="A66" s="141">
        <v>61</v>
      </c>
      <c r="B66" s="116"/>
      <c r="C66" s="59"/>
      <c r="D66" s="63"/>
      <c r="E66" s="64"/>
      <c r="F66" s="87"/>
      <c r="G66" s="59"/>
      <c r="H66" s="33"/>
      <c r="I66" s="115"/>
    </row>
    <row r="67" spans="1:9" s="10" customFormat="1" ht="20.100000000000001" customHeight="1">
      <c r="A67" s="141">
        <v>62</v>
      </c>
      <c r="B67" s="116"/>
      <c r="C67" s="59"/>
      <c r="D67" s="63"/>
      <c r="E67" s="64"/>
      <c r="F67" s="87"/>
      <c r="G67" s="59"/>
      <c r="H67" s="33"/>
      <c r="I67" s="115"/>
    </row>
    <row r="68" spans="1:9" s="10" customFormat="1" ht="20.100000000000001" customHeight="1">
      <c r="A68" s="141">
        <v>63</v>
      </c>
      <c r="B68" s="116"/>
      <c r="C68" s="59"/>
      <c r="D68" s="63"/>
      <c r="E68" s="64"/>
      <c r="F68" s="87"/>
      <c r="G68" s="59"/>
      <c r="H68" s="33"/>
      <c r="I68" s="115"/>
    </row>
    <row r="69" spans="1:9" s="10" customFormat="1" ht="15" customHeight="1">
      <c r="A69" s="141">
        <v>64</v>
      </c>
      <c r="B69" s="116"/>
      <c r="C69" s="59"/>
      <c r="D69" s="63"/>
      <c r="E69" s="64"/>
      <c r="F69" s="87"/>
      <c r="G69" s="59"/>
      <c r="H69" s="33"/>
      <c r="I69" s="115"/>
    </row>
    <row r="70" spans="1:9" s="10" customFormat="1" ht="15" customHeight="1">
      <c r="A70" s="141">
        <v>65</v>
      </c>
      <c r="B70" s="116"/>
      <c r="C70" s="59"/>
      <c r="D70" s="63"/>
      <c r="E70" s="64"/>
      <c r="F70" s="87"/>
      <c r="G70" s="59"/>
      <c r="H70" s="33"/>
      <c r="I70" s="115"/>
    </row>
    <row r="71" spans="1:9" s="10" customFormat="1" ht="15" customHeight="1">
      <c r="A71" s="141">
        <v>66</v>
      </c>
      <c r="B71" s="116"/>
      <c r="C71" s="59"/>
      <c r="D71" s="63"/>
      <c r="E71" s="64"/>
      <c r="F71" s="87"/>
      <c r="G71" s="59"/>
      <c r="H71" s="33"/>
      <c r="I71" s="115"/>
    </row>
    <row r="72" spans="1:9" s="10" customFormat="1" ht="15" customHeight="1">
      <c r="A72" s="141">
        <v>67</v>
      </c>
      <c r="B72" s="116"/>
      <c r="C72" s="59"/>
      <c r="D72" s="63"/>
      <c r="E72" s="64"/>
      <c r="F72" s="87"/>
      <c r="G72" s="59"/>
      <c r="H72" s="33"/>
      <c r="I72" s="115"/>
    </row>
    <row r="73" spans="1:9" s="10" customFormat="1" ht="15" customHeight="1">
      <c r="A73" s="141">
        <v>68</v>
      </c>
      <c r="B73" s="116"/>
      <c r="C73" s="59"/>
      <c r="D73" s="63"/>
      <c r="E73" s="64"/>
      <c r="F73" s="87"/>
      <c r="G73" s="59"/>
      <c r="H73" s="33"/>
      <c r="I73" s="115"/>
    </row>
    <row r="74" spans="1:9" s="10" customFormat="1" ht="15" customHeight="1">
      <c r="A74" s="141">
        <v>69</v>
      </c>
      <c r="B74" s="116"/>
      <c r="C74" s="59"/>
      <c r="D74" s="63"/>
      <c r="E74" s="64"/>
      <c r="F74" s="87"/>
      <c r="G74" s="59"/>
      <c r="H74" s="33"/>
      <c r="I74" s="115"/>
    </row>
    <row r="75" spans="1:9" s="10" customFormat="1" ht="15" customHeight="1">
      <c r="A75" s="141">
        <v>70</v>
      </c>
      <c r="B75" s="116"/>
      <c r="C75" s="59"/>
      <c r="D75" s="63"/>
      <c r="E75" s="64"/>
      <c r="F75" s="87"/>
      <c r="G75" s="59"/>
      <c r="H75" s="33"/>
      <c r="I75" s="115"/>
    </row>
    <row r="76" spans="1:9" s="10" customFormat="1" ht="15" customHeight="1">
      <c r="A76" s="141">
        <v>71</v>
      </c>
      <c r="B76" s="116"/>
      <c r="C76" s="59"/>
      <c r="D76" s="63"/>
      <c r="E76" s="64"/>
      <c r="F76" s="87"/>
      <c r="G76" s="59"/>
      <c r="H76" s="33"/>
      <c r="I76" s="115"/>
    </row>
    <row r="77" spans="1:9" s="10" customFormat="1" ht="15" customHeight="1">
      <c r="A77" s="141">
        <v>72</v>
      </c>
      <c r="B77" s="116"/>
      <c r="C77" s="59"/>
      <c r="D77" s="63"/>
      <c r="E77" s="64"/>
      <c r="F77" s="87"/>
      <c r="G77" s="59"/>
      <c r="H77" s="33"/>
      <c r="I77" s="115"/>
    </row>
    <row r="78" spans="1:9" s="10" customFormat="1" ht="15" customHeight="1">
      <c r="A78" s="141">
        <v>73</v>
      </c>
      <c r="B78" s="116"/>
      <c r="C78" s="59"/>
      <c r="D78" s="63"/>
      <c r="E78" s="64"/>
      <c r="F78" s="87"/>
      <c r="G78" s="59"/>
      <c r="H78" s="33"/>
      <c r="I78" s="115"/>
    </row>
    <row r="79" spans="1:9" s="10" customFormat="1" ht="15" customHeight="1">
      <c r="A79" s="141">
        <v>74</v>
      </c>
      <c r="B79" s="116"/>
      <c r="C79" s="59"/>
      <c r="D79" s="63"/>
      <c r="E79" s="64"/>
      <c r="F79" s="87"/>
      <c r="G79" s="59"/>
      <c r="H79" s="33"/>
      <c r="I79" s="115"/>
    </row>
    <row r="80" spans="1:9" s="10" customFormat="1" ht="15" customHeight="1">
      <c r="A80" s="141">
        <v>75</v>
      </c>
      <c r="B80" s="116"/>
      <c r="C80" s="59"/>
      <c r="D80" s="63"/>
      <c r="E80" s="64"/>
      <c r="F80" s="87"/>
      <c r="G80" s="59"/>
      <c r="H80" s="33"/>
      <c r="I80" s="115"/>
    </row>
    <row r="81" spans="1:9" s="10" customFormat="1" ht="15" customHeight="1">
      <c r="A81" s="141">
        <v>76</v>
      </c>
      <c r="B81" s="116"/>
      <c r="C81" s="59"/>
      <c r="D81" s="63"/>
      <c r="E81" s="64"/>
      <c r="F81" s="87"/>
      <c r="G81" s="59"/>
      <c r="H81" s="33"/>
      <c r="I81" s="115"/>
    </row>
    <row r="82" spans="1:9" s="10" customFormat="1" ht="15" customHeight="1">
      <c r="A82" s="141">
        <v>77</v>
      </c>
      <c r="B82" s="116"/>
      <c r="C82" s="59"/>
      <c r="D82" s="63"/>
      <c r="E82" s="64"/>
      <c r="F82" s="87"/>
      <c r="G82" s="59"/>
      <c r="H82" s="33"/>
      <c r="I82" s="115"/>
    </row>
    <row r="83" spans="1:9" s="10" customFormat="1" ht="15" customHeight="1">
      <c r="A83" s="141">
        <v>78</v>
      </c>
      <c r="B83" s="116"/>
      <c r="C83" s="59"/>
      <c r="D83" s="63"/>
      <c r="E83" s="64"/>
      <c r="F83" s="87"/>
      <c r="G83" s="59"/>
      <c r="H83" s="33"/>
      <c r="I83" s="115"/>
    </row>
    <row r="84" spans="1:9" s="10" customFormat="1" ht="15" customHeight="1">
      <c r="A84" s="141">
        <v>79</v>
      </c>
      <c r="B84" s="116"/>
      <c r="C84" s="59"/>
      <c r="D84" s="63"/>
      <c r="E84" s="64"/>
      <c r="F84" s="87"/>
      <c r="G84" s="59"/>
      <c r="H84" s="33"/>
      <c r="I84" s="115"/>
    </row>
    <row r="85" spans="1:9" s="10" customFormat="1" ht="15" customHeight="1">
      <c r="A85" s="141">
        <v>80</v>
      </c>
      <c r="B85" s="116"/>
      <c r="C85" s="59"/>
      <c r="D85" s="64"/>
      <c r="E85" s="64"/>
      <c r="F85" s="87"/>
      <c r="G85" s="59"/>
      <c r="H85" s="33"/>
      <c r="I85" s="115"/>
    </row>
    <row r="86" spans="1:9" s="10" customFormat="1" ht="15" customHeight="1">
      <c r="A86" s="141">
        <v>81</v>
      </c>
      <c r="B86" s="116"/>
      <c r="C86" s="59"/>
      <c r="D86" s="64"/>
      <c r="E86" s="64"/>
      <c r="F86" s="87"/>
      <c r="G86" s="59"/>
      <c r="H86" s="33"/>
      <c r="I86" s="115"/>
    </row>
    <row r="87" spans="1:9" s="10" customFormat="1" ht="15" customHeight="1">
      <c r="A87" s="141">
        <v>82</v>
      </c>
      <c r="B87" s="116"/>
      <c r="C87" s="59"/>
      <c r="D87" s="64"/>
      <c r="E87" s="64"/>
      <c r="F87" s="87"/>
      <c r="G87" s="59"/>
      <c r="H87" s="33"/>
      <c r="I87" s="115"/>
    </row>
    <row r="88" spans="1:9" s="10" customFormat="1" ht="15" customHeight="1">
      <c r="A88" s="141">
        <v>83</v>
      </c>
      <c r="B88" s="116"/>
      <c r="C88" s="59"/>
      <c r="D88" s="64"/>
      <c r="E88" s="64"/>
      <c r="F88" s="87"/>
      <c r="G88" s="59"/>
      <c r="H88" s="33"/>
      <c r="I88" s="115"/>
    </row>
    <row r="89" spans="1:9" s="10" customFormat="1" ht="15" customHeight="1">
      <c r="A89" s="141">
        <v>84</v>
      </c>
      <c r="B89" s="116"/>
      <c r="C89" s="59"/>
      <c r="D89" s="64"/>
      <c r="E89" s="64"/>
      <c r="F89" s="87"/>
      <c r="G89" s="59"/>
      <c r="H89" s="33"/>
      <c r="I89" s="115"/>
    </row>
    <row r="90" spans="1:9" s="10" customFormat="1" ht="15" customHeight="1">
      <c r="A90" s="141">
        <v>85</v>
      </c>
      <c r="B90" s="116"/>
      <c r="C90" s="59"/>
      <c r="D90" s="64"/>
      <c r="E90" s="64"/>
      <c r="F90" s="87"/>
      <c r="G90" s="59"/>
      <c r="H90" s="33"/>
      <c r="I90" s="115"/>
    </row>
    <row r="91" spans="1:9" s="10" customFormat="1" ht="15" customHeight="1">
      <c r="A91" s="141">
        <v>86</v>
      </c>
      <c r="B91" s="116"/>
      <c r="C91" s="59"/>
      <c r="D91" s="64"/>
      <c r="E91" s="64"/>
      <c r="F91" s="87"/>
      <c r="G91" s="59"/>
      <c r="H91" s="33"/>
      <c r="I91" s="115"/>
    </row>
    <row r="92" spans="1:9" s="10" customFormat="1" ht="15" customHeight="1">
      <c r="A92" s="141">
        <v>87</v>
      </c>
      <c r="B92" s="116"/>
      <c r="C92" s="59"/>
      <c r="D92" s="64"/>
      <c r="E92" s="64"/>
      <c r="F92" s="87"/>
      <c r="G92" s="59"/>
      <c r="H92" s="33"/>
      <c r="I92" s="115"/>
    </row>
    <row r="93" spans="1:9" s="10" customFormat="1" ht="15" customHeight="1">
      <c r="A93" s="141">
        <v>88</v>
      </c>
      <c r="B93" s="116"/>
      <c r="C93" s="59"/>
      <c r="D93" s="64"/>
      <c r="E93" s="64"/>
      <c r="F93" s="87"/>
      <c r="G93" s="59"/>
      <c r="H93" s="33"/>
      <c r="I93" s="115"/>
    </row>
    <row r="94" spans="1:9" s="10" customFormat="1" ht="15" customHeight="1">
      <c r="A94" s="141">
        <v>89</v>
      </c>
      <c r="B94" s="116"/>
      <c r="C94" s="59"/>
      <c r="D94" s="64"/>
      <c r="E94" s="64"/>
      <c r="F94" s="87"/>
      <c r="G94" s="59"/>
      <c r="H94" s="33"/>
      <c r="I94" s="115"/>
    </row>
    <row r="95" spans="1:9" s="10" customFormat="1" ht="15" customHeight="1">
      <c r="A95" s="141">
        <v>90</v>
      </c>
      <c r="B95" s="116"/>
      <c r="C95" s="59"/>
      <c r="D95" s="64"/>
      <c r="E95" s="64"/>
      <c r="F95" s="87"/>
      <c r="G95" s="59"/>
      <c r="H95" s="33"/>
      <c r="I95" s="115"/>
    </row>
    <row r="96" spans="1:9" s="10" customFormat="1" ht="15" customHeight="1">
      <c r="A96" s="141">
        <v>91</v>
      </c>
      <c r="B96" s="116"/>
      <c r="C96" s="59"/>
      <c r="D96" s="64"/>
      <c r="E96" s="64"/>
      <c r="F96" s="87"/>
      <c r="G96" s="59"/>
      <c r="H96" s="33"/>
      <c r="I96" s="115"/>
    </row>
    <row r="97" spans="1:9" s="10" customFormat="1" ht="15" customHeight="1">
      <c r="A97" s="141">
        <v>92</v>
      </c>
      <c r="B97" s="116"/>
      <c r="C97" s="59"/>
      <c r="D97" s="64"/>
      <c r="E97" s="64"/>
      <c r="F97" s="87"/>
      <c r="G97" s="59"/>
      <c r="H97" s="33"/>
      <c r="I97" s="115"/>
    </row>
    <row r="98" spans="1:9" s="10" customFormat="1" ht="15" customHeight="1">
      <c r="A98" s="141">
        <v>93</v>
      </c>
      <c r="B98" s="116"/>
      <c r="C98" s="59"/>
      <c r="D98" s="64"/>
      <c r="E98" s="64"/>
      <c r="F98" s="87"/>
      <c r="G98" s="59"/>
      <c r="H98" s="33"/>
      <c r="I98" s="115"/>
    </row>
    <row r="99" spans="1:9" s="10" customFormat="1" ht="15" customHeight="1">
      <c r="A99" s="141">
        <v>94</v>
      </c>
      <c r="B99" s="116"/>
      <c r="C99" s="59"/>
      <c r="D99" s="64"/>
      <c r="E99" s="64"/>
      <c r="F99" s="87"/>
      <c r="G99" s="59"/>
      <c r="H99" s="33"/>
      <c r="I99" s="115"/>
    </row>
    <row r="100" spans="1:9" s="10" customFormat="1" ht="15" customHeight="1">
      <c r="A100" s="141">
        <v>95</v>
      </c>
      <c r="B100" s="116"/>
      <c r="C100" s="59"/>
      <c r="D100" s="64"/>
      <c r="E100" s="64"/>
      <c r="F100" s="87"/>
      <c r="G100" s="59"/>
      <c r="H100" s="33"/>
      <c r="I100" s="115"/>
    </row>
    <row r="101" spans="1:9" s="10" customFormat="1" ht="15" customHeight="1">
      <c r="A101" s="141">
        <v>96</v>
      </c>
      <c r="B101" s="111"/>
      <c r="C101" s="58"/>
      <c r="D101" s="33"/>
      <c r="E101" s="33"/>
      <c r="F101" s="62"/>
      <c r="G101" s="30"/>
      <c r="H101" s="33"/>
      <c r="I101" s="115"/>
    </row>
    <row r="102" spans="1:9" s="10" customFormat="1" ht="15" customHeight="1">
      <c r="A102" s="141">
        <v>97</v>
      </c>
      <c r="B102" s="111"/>
      <c r="C102" s="30"/>
      <c r="D102" s="33"/>
      <c r="E102" s="33"/>
      <c r="F102" s="62"/>
      <c r="G102" s="30"/>
      <c r="H102" s="33"/>
      <c r="I102" s="115"/>
    </row>
    <row r="103" spans="1:9" s="10" customFormat="1" ht="15" customHeight="1">
      <c r="A103" s="141">
        <v>98</v>
      </c>
      <c r="B103" s="111"/>
      <c r="C103" s="30"/>
      <c r="D103" s="33"/>
      <c r="E103" s="33"/>
      <c r="F103" s="62"/>
      <c r="G103" s="30"/>
      <c r="H103" s="33"/>
      <c r="I103" s="115"/>
    </row>
    <row r="104" spans="1:9" s="10" customFormat="1" ht="15" customHeight="1">
      <c r="A104" s="141">
        <v>99</v>
      </c>
      <c r="B104" s="111"/>
      <c r="C104" s="30"/>
      <c r="D104" s="33"/>
      <c r="E104" s="33"/>
      <c r="F104" s="62"/>
      <c r="G104" s="30"/>
      <c r="H104" s="33"/>
      <c r="I104" s="115"/>
    </row>
    <row r="105" spans="1:9" s="10" customFormat="1" ht="15" customHeight="1">
      <c r="A105" s="142">
        <v>100</v>
      </c>
      <c r="B105" s="117"/>
      <c r="C105" s="118"/>
      <c r="D105" s="119"/>
      <c r="E105" s="119"/>
      <c r="F105" s="120"/>
      <c r="G105" s="118"/>
      <c r="H105" s="119"/>
      <c r="I105" s="121"/>
    </row>
    <row r="106" spans="1:9" ht="20.25">
      <c r="B106" s="41"/>
      <c r="C106" s="42"/>
      <c r="D106" s="42"/>
      <c r="E106" s="42"/>
      <c r="F106" s="42"/>
      <c r="G106" s="42"/>
      <c r="H106" s="42"/>
      <c r="I106" s="42"/>
    </row>
  </sheetData>
  <autoFilter ref="B5:G105" xr:uid="{CE6C056B-1174-47E5-B58F-BD1F5280A530}">
    <sortState xmlns:xlrd2="http://schemas.microsoft.com/office/spreadsheetml/2017/richdata2" ref="B6:G105">
      <sortCondition ref="F5:F105"/>
    </sortState>
  </autoFilter>
  <mergeCells count="5">
    <mergeCell ref="A1:A5"/>
    <mergeCell ref="B1:I2"/>
    <mergeCell ref="B3:B4"/>
    <mergeCell ref="C3:C4"/>
    <mergeCell ref="H3:I3"/>
  </mergeCells>
  <dataValidations count="1">
    <dataValidation allowBlank="1" showErrorMessage="1" sqref="C5:D5" xr:uid="{01B0FD0D-2E63-4BF3-897B-1D91F530EC75}"/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A7FE3A3-83D1-4A5E-AF74-77451AAD8EA3}">
          <x14:formula1>
            <xm:f>DATA!$B$4:$B$10</xm:f>
          </x14:formula1>
          <xm:sqref>H4</xm:sqref>
        </x14:dataValidation>
        <x14:dataValidation type="list" allowBlank="1" showInputMessage="1" showErrorMessage="1" xr:uid="{5BBCE5DF-E415-42A4-A789-E8F584C63B1C}">
          <x14:formula1>
            <xm:f>DATA!$C$2:$C$6</xm:f>
          </x14:formula1>
          <xm:sqref>G6:G105 F23</xm:sqref>
        </x14:dataValidation>
        <x14:dataValidation type="list" allowBlank="1" showErrorMessage="1" xr:uid="{3A5F5458-BFFF-4300-9F36-9E09C3743B5C}">
          <x14:formula1>
            <xm:f>DATA!$D$2:$D$17</xm:f>
          </x14:formula1>
          <xm:sqref>C6:C105</xm:sqref>
        </x14:dataValidation>
        <x14:dataValidation type="list" allowBlank="1" showInputMessage="1" showErrorMessage="1" xr:uid="{24CD71C8-C74E-4E98-9C5F-63F455F0D2DA}">
          <x14:formula1>
            <xm:f>DATA!$B$2:$B$20</xm:f>
          </x14:formula1>
          <xm:sqref>I6:I7 D6:D105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C056B-1174-47E5-B58F-BD1F5280A530}">
  <sheetPr codeName="Planilha7"/>
  <dimension ref="A1:L106"/>
  <sheetViews>
    <sheetView zoomScale="90" zoomScaleNormal="90" workbookViewId="0">
      <selection activeCell="B1" sqref="B1:I2"/>
    </sheetView>
  </sheetViews>
  <sheetFormatPr defaultRowHeight="15"/>
  <cols>
    <col min="1" max="1" width="4.42578125" style="49" customWidth="1"/>
    <col min="2" max="2" width="40.7109375" style="43" customWidth="1"/>
    <col min="3" max="3" width="55.7109375" style="44" customWidth="1"/>
    <col min="4" max="4" width="30.7109375" style="44" customWidth="1"/>
    <col min="5" max="5" width="20.7109375" style="44" customWidth="1"/>
    <col min="6" max="6" width="30.7109375" style="44" customWidth="1"/>
    <col min="7" max="7" width="20.7109375" style="44" customWidth="1"/>
    <col min="8" max="8" width="34.7109375" style="44" customWidth="1"/>
    <col min="9" max="9" width="19.7109375" style="44" customWidth="1"/>
    <col min="10" max="10" width="10.5703125" style="10" bestFit="1" customWidth="1"/>
    <col min="11" max="12" width="9.140625" style="10"/>
    <col min="13" max="16384" width="9.140625" style="8"/>
  </cols>
  <sheetData>
    <row r="1" spans="1:10" ht="15" customHeight="1">
      <c r="A1" s="128" t="s">
        <v>58</v>
      </c>
      <c r="B1" s="123" t="s">
        <v>78</v>
      </c>
      <c r="C1" s="101"/>
      <c r="D1" s="101"/>
      <c r="E1" s="101"/>
      <c r="F1" s="101"/>
      <c r="G1" s="101"/>
      <c r="H1" s="101"/>
      <c r="I1" s="102"/>
      <c r="J1" s="9"/>
    </row>
    <row r="2" spans="1:10" ht="33.75" customHeight="1">
      <c r="A2" s="129"/>
      <c r="B2" s="93"/>
      <c r="C2" s="94"/>
      <c r="D2" s="94"/>
      <c r="E2" s="94"/>
      <c r="F2" s="94"/>
      <c r="G2" s="94"/>
      <c r="H2" s="94"/>
      <c r="I2" s="104"/>
      <c r="J2" s="9"/>
    </row>
    <row r="3" spans="1:10" ht="42.75" customHeight="1">
      <c r="A3" s="129"/>
      <c r="B3" s="96" t="s">
        <v>25</v>
      </c>
      <c r="C3" s="98">
        <f>E3-E4-(SUMIFS(E6:E105,G6:G105,"Reserva") + SUMIFS(E6:E105,G6:G105,"Investimento"))</f>
        <v>0</v>
      </c>
      <c r="D3" s="35" t="s">
        <v>36</v>
      </c>
      <c r="E3" s="65">
        <f>SUMIF(($G$6:$G$105),"Receita",($E$6:$E$105))</f>
        <v>0</v>
      </c>
      <c r="F3" s="67" t="s">
        <v>38</v>
      </c>
      <c r="G3" s="34">
        <f>SUMIF(($G$6:$G$105),"Custo",($E$6:$E$105))</f>
        <v>0</v>
      </c>
      <c r="H3" s="95" t="s">
        <v>56</v>
      </c>
      <c r="I3" s="106"/>
    </row>
    <row r="4" spans="1:10" ht="31.5" customHeight="1">
      <c r="A4" s="129"/>
      <c r="B4" s="97"/>
      <c r="C4" s="99"/>
      <c r="D4" s="35" t="s">
        <v>37</v>
      </c>
      <c r="E4" s="65">
        <f>G3+G4</f>
        <v>0</v>
      </c>
      <c r="F4" s="67" t="s">
        <v>39</v>
      </c>
      <c r="G4" s="34">
        <f>SUMIF(($G$6:$G$105),"Gasto",($E$6:$E$105))</f>
        <v>0</v>
      </c>
      <c r="H4" s="66" t="s">
        <v>0</v>
      </c>
      <c r="I4" s="108">
        <f>SUMIF(D6:D105,H4,E6:E105)</f>
        <v>0</v>
      </c>
    </row>
    <row r="5" spans="1:10" ht="23.25" customHeight="1">
      <c r="A5" s="129"/>
      <c r="B5" s="18" t="s">
        <v>20</v>
      </c>
      <c r="C5" s="13" t="s">
        <v>15</v>
      </c>
      <c r="D5" s="13" t="s">
        <v>16</v>
      </c>
      <c r="E5" s="13" t="s">
        <v>17</v>
      </c>
      <c r="F5" s="13" t="s">
        <v>18</v>
      </c>
      <c r="G5" s="13" t="s">
        <v>19</v>
      </c>
      <c r="H5" s="14"/>
      <c r="I5" s="110"/>
    </row>
    <row r="6" spans="1:10" s="10" customFormat="1" ht="20.100000000000001" customHeight="1">
      <c r="A6" s="130">
        <v>1</v>
      </c>
      <c r="B6" s="48"/>
      <c r="C6" s="31"/>
      <c r="D6" s="29"/>
      <c r="E6" s="23"/>
      <c r="F6" s="26"/>
      <c r="G6" s="30"/>
      <c r="H6" s="33"/>
      <c r="I6" s="112"/>
      <c r="J6" s="11"/>
    </row>
    <row r="7" spans="1:10" s="10" customFormat="1" ht="20.100000000000001" customHeight="1">
      <c r="A7" s="130">
        <v>2</v>
      </c>
      <c r="B7" s="32"/>
      <c r="C7" s="28"/>
      <c r="D7" s="28"/>
      <c r="E7" s="24"/>
      <c r="F7" s="28"/>
      <c r="G7" s="28"/>
      <c r="H7" s="33"/>
      <c r="I7" s="112"/>
      <c r="J7" s="12"/>
    </row>
    <row r="8" spans="1:10" s="10" customFormat="1" ht="20.100000000000001" customHeight="1">
      <c r="A8" s="130">
        <v>3</v>
      </c>
      <c r="B8" s="48"/>
      <c r="C8" s="28"/>
      <c r="D8" s="29"/>
      <c r="E8" s="23"/>
      <c r="F8" s="26"/>
      <c r="G8" s="28"/>
      <c r="H8" s="17"/>
      <c r="I8" s="131"/>
      <c r="J8" s="12"/>
    </row>
    <row r="9" spans="1:10" s="10" customFormat="1" ht="20.100000000000001" customHeight="1">
      <c r="A9" s="130">
        <v>4</v>
      </c>
      <c r="B9" s="32"/>
      <c r="C9" s="28"/>
      <c r="D9" s="28"/>
      <c r="E9" s="24"/>
      <c r="F9" s="57"/>
      <c r="G9" s="28"/>
      <c r="H9" s="17"/>
      <c r="I9" s="131"/>
      <c r="J9" s="12"/>
    </row>
    <row r="10" spans="1:10" s="10" customFormat="1" ht="20.100000000000001" customHeight="1">
      <c r="A10" s="130">
        <v>5</v>
      </c>
      <c r="B10" s="32"/>
      <c r="C10" s="30"/>
      <c r="D10" s="28"/>
      <c r="E10" s="24"/>
      <c r="F10" s="28"/>
      <c r="G10" s="28"/>
      <c r="H10" s="17"/>
      <c r="I10" s="131"/>
      <c r="J10" s="12"/>
    </row>
    <row r="11" spans="1:10" s="10" customFormat="1" ht="20.100000000000001" customHeight="1">
      <c r="A11" s="130">
        <v>6</v>
      </c>
      <c r="B11" s="32"/>
      <c r="C11" s="28"/>
      <c r="D11" s="28"/>
      <c r="E11" s="24"/>
      <c r="F11" s="28"/>
      <c r="G11" s="28"/>
      <c r="H11" s="17"/>
      <c r="I11" s="131"/>
      <c r="J11" s="12"/>
    </row>
    <row r="12" spans="1:10" s="10" customFormat="1" ht="20.100000000000001" customHeight="1">
      <c r="A12" s="130">
        <v>7</v>
      </c>
      <c r="B12" s="32"/>
      <c r="C12" s="28"/>
      <c r="D12" s="29"/>
      <c r="E12" s="24"/>
      <c r="F12" s="57"/>
      <c r="G12" s="30"/>
      <c r="H12" s="17"/>
      <c r="I12" s="131"/>
      <c r="J12" s="12"/>
    </row>
    <row r="13" spans="1:10" s="10" customFormat="1" ht="20.100000000000001" customHeight="1">
      <c r="A13" s="130">
        <v>8</v>
      </c>
      <c r="B13" s="32"/>
      <c r="C13" s="28"/>
      <c r="D13" s="28"/>
      <c r="E13" s="24"/>
      <c r="F13" s="28"/>
      <c r="G13" s="28"/>
      <c r="H13" s="17"/>
      <c r="I13" s="132"/>
    </row>
    <row r="14" spans="1:10" s="10" customFormat="1" ht="20.100000000000001" customHeight="1">
      <c r="A14" s="130">
        <v>9</v>
      </c>
      <c r="B14" s="32"/>
      <c r="C14" s="28"/>
      <c r="D14" s="28"/>
      <c r="E14" s="24"/>
      <c r="F14" s="57"/>
      <c r="G14" s="30"/>
      <c r="H14" s="17"/>
      <c r="I14" s="132"/>
    </row>
    <row r="15" spans="1:10" s="10" customFormat="1" ht="20.100000000000001" customHeight="1">
      <c r="A15" s="130">
        <v>10</v>
      </c>
      <c r="B15" s="32"/>
      <c r="C15" s="28"/>
      <c r="D15" s="28"/>
      <c r="E15" s="24"/>
      <c r="F15" s="57"/>
      <c r="G15" s="30"/>
      <c r="H15" s="17"/>
      <c r="I15" s="132"/>
    </row>
    <row r="16" spans="1:10" s="10" customFormat="1" ht="20.100000000000001" customHeight="1">
      <c r="A16" s="130">
        <v>11</v>
      </c>
      <c r="B16" s="32"/>
      <c r="C16" s="28"/>
      <c r="D16" s="31"/>
      <c r="E16" s="24"/>
      <c r="F16" s="57"/>
      <c r="G16" s="28"/>
      <c r="H16" s="17"/>
      <c r="I16" s="132"/>
    </row>
    <row r="17" spans="1:9" s="10" customFormat="1" ht="20.100000000000001" customHeight="1">
      <c r="A17" s="130">
        <v>12</v>
      </c>
      <c r="B17" s="48"/>
      <c r="C17" s="31"/>
      <c r="D17" s="29"/>
      <c r="E17" s="23"/>
      <c r="F17" s="26"/>
      <c r="G17" s="28"/>
      <c r="H17" s="17"/>
      <c r="I17" s="132"/>
    </row>
    <row r="18" spans="1:9" s="10" customFormat="1" ht="20.100000000000001" customHeight="1">
      <c r="A18" s="130">
        <v>13</v>
      </c>
      <c r="B18" s="48"/>
      <c r="C18" s="30"/>
      <c r="D18" s="29"/>
      <c r="E18" s="23"/>
      <c r="F18" s="26"/>
      <c r="G18" s="28"/>
      <c r="H18" s="17"/>
      <c r="I18" s="132"/>
    </row>
    <row r="19" spans="1:9" s="10" customFormat="1" ht="20.100000000000001" customHeight="1">
      <c r="A19" s="130">
        <v>14</v>
      </c>
      <c r="B19" s="47"/>
      <c r="C19" s="28"/>
      <c r="D19" s="29"/>
      <c r="E19" s="22"/>
      <c r="F19" s="25"/>
      <c r="G19" s="29"/>
      <c r="H19" s="17"/>
      <c r="I19" s="132"/>
    </row>
    <row r="20" spans="1:9" s="10" customFormat="1" ht="20.100000000000001" customHeight="1">
      <c r="A20" s="130">
        <v>15</v>
      </c>
      <c r="B20" s="32"/>
      <c r="C20" s="28"/>
      <c r="D20" s="28"/>
      <c r="E20" s="24"/>
      <c r="F20" s="28"/>
      <c r="G20" s="28"/>
      <c r="H20" s="17"/>
      <c r="I20" s="132"/>
    </row>
    <row r="21" spans="1:9" s="10" customFormat="1" ht="20.100000000000001" customHeight="1">
      <c r="A21" s="130">
        <v>16</v>
      </c>
      <c r="B21" s="32"/>
      <c r="C21" s="28"/>
      <c r="D21" s="29"/>
      <c r="E21" s="24"/>
      <c r="F21" s="27"/>
      <c r="G21" s="30"/>
      <c r="H21" s="17"/>
      <c r="I21" s="132"/>
    </row>
    <row r="22" spans="1:9" s="10" customFormat="1" ht="20.100000000000001" customHeight="1">
      <c r="A22" s="130">
        <v>17</v>
      </c>
      <c r="B22" s="48"/>
      <c r="C22" s="28"/>
      <c r="D22" s="29"/>
      <c r="E22" s="23"/>
      <c r="F22" s="26"/>
      <c r="G22" s="28"/>
      <c r="H22" s="17"/>
      <c r="I22" s="132"/>
    </row>
    <row r="23" spans="1:9" s="10" customFormat="1" ht="20.100000000000001" customHeight="1">
      <c r="A23" s="130">
        <v>18</v>
      </c>
      <c r="B23" s="48"/>
      <c r="C23" s="31"/>
      <c r="D23" s="31"/>
      <c r="E23" s="23"/>
      <c r="F23" s="26"/>
      <c r="G23" s="28"/>
      <c r="H23" s="17"/>
      <c r="I23" s="132"/>
    </row>
    <row r="24" spans="1:9" s="10" customFormat="1" ht="20.100000000000001" customHeight="1">
      <c r="A24" s="130">
        <v>19</v>
      </c>
      <c r="B24" s="60"/>
      <c r="C24" s="30"/>
      <c r="D24" s="30"/>
      <c r="E24" s="61"/>
      <c r="F24" s="62"/>
      <c r="G24" s="30"/>
      <c r="H24" s="17"/>
      <c r="I24" s="132"/>
    </row>
    <row r="25" spans="1:9" s="10" customFormat="1" ht="20.100000000000001" customHeight="1">
      <c r="A25" s="130">
        <v>20</v>
      </c>
      <c r="B25" s="32"/>
      <c r="C25" s="28"/>
      <c r="D25" s="28"/>
      <c r="E25" s="24"/>
      <c r="F25" s="28"/>
      <c r="G25" s="28"/>
      <c r="H25" s="17"/>
      <c r="I25" s="132"/>
    </row>
    <row r="26" spans="1:9" s="10" customFormat="1" ht="20.100000000000001" customHeight="1">
      <c r="A26" s="130">
        <v>21</v>
      </c>
      <c r="B26" s="32"/>
      <c r="C26" s="28"/>
      <c r="D26" s="28"/>
      <c r="E26" s="24"/>
      <c r="F26" s="28"/>
      <c r="G26" s="28"/>
      <c r="H26" s="17"/>
      <c r="I26" s="132"/>
    </row>
    <row r="27" spans="1:9" s="10" customFormat="1" ht="20.100000000000001" customHeight="1">
      <c r="A27" s="130">
        <v>22</v>
      </c>
      <c r="B27" s="32"/>
      <c r="C27" s="28"/>
      <c r="D27" s="28"/>
      <c r="E27" s="24"/>
      <c r="F27" s="28"/>
      <c r="G27" s="28"/>
      <c r="H27" s="17"/>
      <c r="I27" s="132"/>
    </row>
    <row r="28" spans="1:9" s="10" customFormat="1" ht="20.100000000000001" customHeight="1">
      <c r="A28" s="130">
        <v>23</v>
      </c>
      <c r="B28" s="32"/>
      <c r="C28" s="28"/>
      <c r="D28" s="28"/>
      <c r="E28" s="24"/>
      <c r="F28" s="28"/>
      <c r="G28" s="28"/>
      <c r="H28" s="17"/>
      <c r="I28" s="132"/>
    </row>
    <row r="29" spans="1:9" s="10" customFormat="1" ht="20.100000000000001" customHeight="1">
      <c r="A29" s="130">
        <v>24</v>
      </c>
      <c r="B29" s="32"/>
      <c r="C29" s="28"/>
      <c r="D29" s="28"/>
      <c r="E29" s="24"/>
      <c r="F29" s="28"/>
      <c r="G29" s="28"/>
      <c r="H29" s="17"/>
      <c r="I29" s="132"/>
    </row>
    <row r="30" spans="1:9" s="10" customFormat="1" ht="20.100000000000001" customHeight="1">
      <c r="A30" s="130">
        <v>25</v>
      </c>
      <c r="B30" s="32"/>
      <c r="C30" s="28"/>
      <c r="D30" s="31"/>
      <c r="E30" s="24"/>
      <c r="F30" s="28"/>
      <c r="G30" s="28"/>
      <c r="H30" s="17"/>
      <c r="I30" s="132"/>
    </row>
    <row r="31" spans="1:9" s="10" customFormat="1" ht="20.100000000000001" customHeight="1">
      <c r="A31" s="130">
        <v>26</v>
      </c>
      <c r="B31" s="32"/>
      <c r="C31" s="28"/>
      <c r="D31" s="28"/>
      <c r="E31" s="24"/>
      <c r="F31" s="28"/>
      <c r="G31" s="28"/>
      <c r="H31" s="17"/>
      <c r="I31" s="132"/>
    </row>
    <row r="32" spans="1:9" s="10" customFormat="1" ht="20.100000000000001" customHeight="1">
      <c r="A32" s="130">
        <v>27</v>
      </c>
      <c r="B32" s="32"/>
      <c r="C32" s="28"/>
      <c r="D32" s="28"/>
      <c r="E32" s="24"/>
      <c r="F32" s="28"/>
      <c r="G32" s="28"/>
      <c r="H32" s="17"/>
      <c r="I32" s="132"/>
    </row>
    <row r="33" spans="1:9" s="10" customFormat="1" ht="20.100000000000001" customHeight="1">
      <c r="A33" s="130">
        <v>28</v>
      </c>
      <c r="B33" s="32"/>
      <c r="C33" s="28"/>
      <c r="D33" s="28"/>
      <c r="E33" s="24"/>
      <c r="F33" s="27"/>
      <c r="G33" s="28"/>
      <c r="H33" s="17"/>
      <c r="I33" s="132"/>
    </row>
    <row r="34" spans="1:9" s="10" customFormat="1" ht="20.100000000000001" customHeight="1">
      <c r="A34" s="130">
        <v>29</v>
      </c>
      <c r="B34" s="32"/>
      <c r="C34" s="28"/>
      <c r="D34" s="28"/>
      <c r="E34" s="24"/>
      <c r="F34" s="27"/>
      <c r="G34" s="28"/>
      <c r="H34" s="17"/>
      <c r="I34" s="132"/>
    </row>
    <row r="35" spans="1:9" s="10" customFormat="1" ht="20.100000000000001" customHeight="1">
      <c r="A35" s="130">
        <v>30</v>
      </c>
      <c r="B35" s="32"/>
      <c r="C35" s="28"/>
      <c r="D35" s="28"/>
      <c r="E35" s="24"/>
      <c r="F35" s="27"/>
      <c r="G35" s="28"/>
      <c r="H35" s="17"/>
      <c r="I35" s="132"/>
    </row>
    <row r="36" spans="1:9" s="10" customFormat="1" ht="20.100000000000001" customHeight="1">
      <c r="A36" s="130">
        <v>31</v>
      </c>
      <c r="B36" s="32"/>
      <c r="C36" s="28"/>
      <c r="D36" s="28"/>
      <c r="E36" s="24"/>
      <c r="F36" s="27"/>
      <c r="G36" s="28"/>
      <c r="H36" s="17"/>
      <c r="I36" s="132"/>
    </row>
    <row r="37" spans="1:9" s="10" customFormat="1" ht="20.100000000000001" customHeight="1">
      <c r="A37" s="130">
        <v>32</v>
      </c>
      <c r="B37" s="32"/>
      <c r="C37" s="28"/>
      <c r="D37" s="17"/>
      <c r="E37" s="17"/>
      <c r="F37" s="17"/>
      <c r="G37" s="28"/>
      <c r="H37" s="17"/>
      <c r="I37" s="132"/>
    </row>
    <row r="38" spans="1:9" s="10" customFormat="1" ht="20.100000000000001" customHeight="1">
      <c r="A38" s="130">
        <v>33</v>
      </c>
      <c r="B38" s="32"/>
      <c r="C38" s="28"/>
      <c r="D38" s="17"/>
      <c r="E38" s="17"/>
      <c r="F38" s="17"/>
      <c r="G38" s="28"/>
      <c r="H38" s="17"/>
      <c r="I38" s="132"/>
    </row>
    <row r="39" spans="1:9" s="10" customFormat="1" ht="20.100000000000001" customHeight="1">
      <c r="A39" s="130">
        <v>34</v>
      </c>
      <c r="B39" s="32"/>
      <c r="C39" s="28"/>
      <c r="D39" s="17"/>
      <c r="E39" s="17"/>
      <c r="F39" s="17"/>
      <c r="G39" s="28"/>
      <c r="H39" s="17"/>
      <c r="I39" s="132"/>
    </row>
    <row r="40" spans="1:9" s="10" customFormat="1" ht="20.100000000000001" customHeight="1">
      <c r="A40" s="130">
        <v>35</v>
      </c>
      <c r="B40" s="32"/>
      <c r="C40" s="28"/>
      <c r="D40" s="17"/>
      <c r="E40" s="17"/>
      <c r="F40" s="17"/>
      <c r="G40" s="28"/>
      <c r="H40" s="17"/>
      <c r="I40" s="132"/>
    </row>
    <row r="41" spans="1:9" s="10" customFormat="1" ht="20.100000000000001" customHeight="1">
      <c r="A41" s="130">
        <v>36</v>
      </c>
      <c r="B41" s="32"/>
      <c r="C41" s="28"/>
      <c r="D41" s="17"/>
      <c r="E41" s="17"/>
      <c r="F41" s="17"/>
      <c r="G41" s="28"/>
      <c r="H41" s="17"/>
      <c r="I41" s="132"/>
    </row>
    <row r="42" spans="1:9" s="10" customFormat="1" ht="20.100000000000001" customHeight="1">
      <c r="A42" s="130">
        <v>37</v>
      </c>
      <c r="B42" s="32"/>
      <c r="C42" s="28"/>
      <c r="D42" s="17"/>
      <c r="E42" s="17"/>
      <c r="F42" s="36"/>
      <c r="G42" s="28"/>
      <c r="H42" s="17"/>
      <c r="I42" s="132"/>
    </row>
    <row r="43" spans="1:9" s="10" customFormat="1" ht="20.100000000000001" customHeight="1">
      <c r="A43" s="130">
        <v>38</v>
      </c>
      <c r="B43" s="45"/>
      <c r="C43" s="40"/>
      <c r="D43" s="38"/>
      <c r="E43" s="39"/>
      <c r="F43" s="39"/>
      <c r="G43" s="28"/>
      <c r="H43" s="17"/>
      <c r="I43" s="132"/>
    </row>
    <row r="44" spans="1:9" s="10" customFormat="1" ht="20.100000000000001" customHeight="1">
      <c r="A44" s="130">
        <v>39</v>
      </c>
      <c r="B44" s="45"/>
      <c r="C44" s="40"/>
      <c r="D44" s="38"/>
      <c r="E44" s="39"/>
      <c r="F44" s="39"/>
      <c r="G44" s="28"/>
      <c r="H44" s="17"/>
      <c r="I44" s="132"/>
    </row>
    <row r="45" spans="1:9" s="10" customFormat="1" ht="20.100000000000001" customHeight="1">
      <c r="A45" s="130">
        <v>40</v>
      </c>
      <c r="B45" s="45"/>
      <c r="C45" s="40"/>
      <c r="D45" s="38"/>
      <c r="E45" s="39"/>
      <c r="F45" s="39"/>
      <c r="G45" s="28"/>
      <c r="H45" s="17"/>
      <c r="I45" s="132"/>
    </row>
    <row r="46" spans="1:9" s="10" customFormat="1" ht="20.100000000000001" customHeight="1">
      <c r="A46" s="130">
        <v>41</v>
      </c>
      <c r="B46" s="45"/>
      <c r="C46" s="40"/>
      <c r="D46" s="38"/>
      <c r="E46" s="39"/>
      <c r="F46" s="39"/>
      <c r="G46" s="40"/>
      <c r="H46" s="17"/>
      <c r="I46" s="132"/>
    </row>
    <row r="47" spans="1:9" s="10" customFormat="1" ht="20.100000000000001" customHeight="1">
      <c r="A47" s="130">
        <v>42</v>
      </c>
      <c r="B47" s="45"/>
      <c r="C47" s="40"/>
      <c r="D47" s="38"/>
      <c r="E47" s="39"/>
      <c r="F47" s="39"/>
      <c r="G47" s="40"/>
      <c r="H47" s="17"/>
      <c r="I47" s="132"/>
    </row>
    <row r="48" spans="1:9" s="10" customFormat="1" ht="20.100000000000001" customHeight="1">
      <c r="A48" s="130">
        <v>43</v>
      </c>
      <c r="B48" s="45"/>
      <c r="C48" s="40"/>
      <c r="D48" s="38"/>
      <c r="E48" s="39"/>
      <c r="F48" s="39"/>
      <c r="G48" s="40"/>
      <c r="H48" s="17"/>
      <c r="I48" s="132"/>
    </row>
    <row r="49" spans="1:9" s="10" customFormat="1" ht="20.100000000000001" customHeight="1">
      <c r="A49" s="130">
        <v>44</v>
      </c>
      <c r="B49" s="45"/>
      <c r="C49" s="40"/>
      <c r="D49" s="38"/>
      <c r="E49" s="39"/>
      <c r="F49" s="39"/>
      <c r="G49" s="40"/>
      <c r="H49" s="17"/>
      <c r="I49" s="132"/>
    </row>
    <row r="50" spans="1:9" s="10" customFormat="1" ht="20.100000000000001" customHeight="1">
      <c r="A50" s="130">
        <v>45</v>
      </c>
      <c r="B50" s="45"/>
      <c r="C50" s="40"/>
      <c r="D50" s="38"/>
      <c r="E50" s="39"/>
      <c r="F50" s="39"/>
      <c r="G50" s="40"/>
      <c r="H50" s="17"/>
      <c r="I50" s="132"/>
    </row>
    <row r="51" spans="1:9" s="10" customFormat="1" ht="20.100000000000001" customHeight="1">
      <c r="A51" s="130">
        <v>46</v>
      </c>
      <c r="B51" s="45"/>
      <c r="C51" s="40"/>
      <c r="D51" s="38"/>
      <c r="E51" s="39"/>
      <c r="F51" s="39"/>
      <c r="G51" s="40"/>
      <c r="H51" s="17"/>
      <c r="I51" s="132"/>
    </row>
    <row r="52" spans="1:9" s="10" customFormat="1" ht="20.100000000000001" customHeight="1">
      <c r="A52" s="130">
        <v>47</v>
      </c>
      <c r="B52" s="45"/>
      <c r="C52" s="40"/>
      <c r="D52" s="38"/>
      <c r="E52" s="39"/>
      <c r="F52" s="39"/>
      <c r="G52" s="40"/>
      <c r="H52" s="17"/>
      <c r="I52" s="132"/>
    </row>
    <row r="53" spans="1:9" s="10" customFormat="1" ht="20.100000000000001" customHeight="1">
      <c r="A53" s="130">
        <v>48</v>
      </c>
      <c r="B53" s="45"/>
      <c r="C53" s="40"/>
      <c r="D53" s="38"/>
      <c r="E53" s="39"/>
      <c r="F53" s="39"/>
      <c r="G53" s="40"/>
      <c r="H53" s="17"/>
      <c r="I53" s="132"/>
    </row>
    <row r="54" spans="1:9" s="10" customFormat="1" ht="20.100000000000001" customHeight="1">
      <c r="A54" s="130">
        <v>49</v>
      </c>
      <c r="B54" s="45"/>
      <c r="C54" s="40"/>
      <c r="D54" s="38"/>
      <c r="E54" s="39"/>
      <c r="F54" s="39"/>
      <c r="G54" s="40"/>
      <c r="H54" s="17"/>
      <c r="I54" s="132"/>
    </row>
    <row r="55" spans="1:9" s="10" customFormat="1" ht="20.100000000000001" customHeight="1">
      <c r="A55" s="130">
        <v>50</v>
      </c>
      <c r="B55" s="45"/>
      <c r="C55" s="40"/>
      <c r="D55" s="38"/>
      <c r="E55" s="39"/>
      <c r="F55" s="39"/>
      <c r="G55" s="40"/>
      <c r="H55" s="17"/>
      <c r="I55" s="132"/>
    </row>
    <row r="56" spans="1:9" s="10" customFormat="1" ht="20.100000000000001" customHeight="1">
      <c r="A56" s="130">
        <v>51</v>
      </c>
      <c r="B56" s="45"/>
      <c r="C56" s="40"/>
      <c r="D56" s="38"/>
      <c r="E56" s="39"/>
      <c r="F56" s="39"/>
      <c r="G56" s="40"/>
      <c r="H56" s="17"/>
      <c r="I56" s="132"/>
    </row>
    <row r="57" spans="1:9" s="10" customFormat="1" ht="20.100000000000001" customHeight="1">
      <c r="A57" s="130">
        <v>52</v>
      </c>
      <c r="B57" s="45"/>
      <c r="C57" s="40"/>
      <c r="D57" s="38"/>
      <c r="E57" s="39"/>
      <c r="F57" s="39"/>
      <c r="G57" s="40"/>
      <c r="H57" s="17"/>
      <c r="I57" s="132"/>
    </row>
    <row r="58" spans="1:9" s="10" customFormat="1" ht="20.100000000000001" customHeight="1">
      <c r="A58" s="130">
        <v>53</v>
      </c>
      <c r="B58" s="45"/>
      <c r="C58" s="40"/>
      <c r="D58" s="38"/>
      <c r="E58" s="39"/>
      <c r="F58" s="39"/>
      <c r="G58" s="40"/>
      <c r="H58" s="17"/>
      <c r="I58" s="132"/>
    </row>
    <row r="59" spans="1:9" s="10" customFormat="1" ht="20.100000000000001" customHeight="1">
      <c r="A59" s="130">
        <v>54</v>
      </c>
      <c r="B59" s="45"/>
      <c r="C59" s="40"/>
      <c r="D59" s="38"/>
      <c r="E59" s="39"/>
      <c r="F59" s="39"/>
      <c r="G59" s="40"/>
      <c r="H59" s="17"/>
      <c r="I59" s="132"/>
    </row>
    <row r="60" spans="1:9" s="10" customFormat="1" ht="20.100000000000001" customHeight="1">
      <c r="A60" s="130">
        <v>55</v>
      </c>
      <c r="B60" s="45"/>
      <c r="C60" s="40"/>
      <c r="D60" s="38"/>
      <c r="E60" s="39"/>
      <c r="F60" s="39"/>
      <c r="G60" s="40"/>
      <c r="H60" s="17"/>
      <c r="I60" s="132"/>
    </row>
    <row r="61" spans="1:9" s="10" customFormat="1" ht="20.100000000000001" customHeight="1">
      <c r="A61" s="130">
        <v>56</v>
      </c>
      <c r="B61" s="32"/>
      <c r="C61" s="28"/>
      <c r="D61" s="17"/>
      <c r="E61" s="17"/>
      <c r="F61" s="17"/>
      <c r="G61" s="40"/>
      <c r="H61" s="17"/>
      <c r="I61" s="132"/>
    </row>
    <row r="62" spans="1:9" s="10" customFormat="1" ht="20.100000000000001" customHeight="1">
      <c r="A62" s="130">
        <v>57</v>
      </c>
      <c r="B62" s="32"/>
      <c r="C62" s="28"/>
      <c r="D62" s="17"/>
      <c r="E62" s="17"/>
      <c r="F62" s="17"/>
      <c r="G62" s="40"/>
      <c r="H62" s="17"/>
      <c r="I62" s="132"/>
    </row>
    <row r="63" spans="1:9" s="10" customFormat="1" ht="20.100000000000001" customHeight="1">
      <c r="A63" s="130">
        <v>58</v>
      </c>
      <c r="B63" s="32"/>
      <c r="C63" s="28"/>
      <c r="D63" s="17"/>
      <c r="E63" s="17"/>
      <c r="F63" s="17"/>
      <c r="G63" s="40"/>
      <c r="H63" s="17"/>
      <c r="I63" s="132"/>
    </row>
    <row r="64" spans="1:9" s="10" customFormat="1" ht="20.100000000000001" customHeight="1">
      <c r="A64" s="130">
        <v>59</v>
      </c>
      <c r="B64" s="45"/>
      <c r="C64" s="40"/>
      <c r="D64" s="38"/>
      <c r="E64" s="39"/>
      <c r="F64" s="39"/>
      <c r="G64" s="40"/>
      <c r="H64" s="17"/>
      <c r="I64" s="132"/>
    </row>
    <row r="65" spans="1:9" s="10" customFormat="1" ht="20.100000000000001" customHeight="1">
      <c r="A65" s="130">
        <v>60</v>
      </c>
      <c r="B65" s="45"/>
      <c r="C65" s="40"/>
      <c r="D65" s="38"/>
      <c r="E65" s="39"/>
      <c r="F65" s="39"/>
      <c r="G65" s="40"/>
      <c r="H65" s="17"/>
      <c r="I65" s="132"/>
    </row>
    <row r="66" spans="1:9" s="10" customFormat="1" ht="20.100000000000001" customHeight="1">
      <c r="A66" s="130">
        <v>61</v>
      </c>
      <c r="B66" s="45"/>
      <c r="C66" s="40"/>
      <c r="D66" s="38"/>
      <c r="E66" s="39"/>
      <c r="F66" s="39"/>
      <c r="G66" s="40"/>
      <c r="H66" s="17"/>
      <c r="I66" s="132"/>
    </row>
    <row r="67" spans="1:9" s="10" customFormat="1" ht="20.100000000000001" customHeight="1">
      <c r="A67" s="130">
        <v>62</v>
      </c>
      <c r="B67" s="45"/>
      <c r="C67" s="40"/>
      <c r="D67" s="38"/>
      <c r="E67" s="39"/>
      <c r="F67" s="39"/>
      <c r="G67" s="40"/>
      <c r="H67" s="17"/>
      <c r="I67" s="132"/>
    </row>
    <row r="68" spans="1:9" s="10" customFormat="1" ht="20.100000000000001" customHeight="1">
      <c r="A68" s="130">
        <v>63</v>
      </c>
      <c r="B68" s="45"/>
      <c r="C68" s="40"/>
      <c r="D68" s="38"/>
      <c r="E68" s="39"/>
      <c r="F68" s="39"/>
      <c r="G68" s="40"/>
      <c r="H68" s="17"/>
      <c r="I68" s="132"/>
    </row>
    <row r="69" spans="1:9" s="10" customFormat="1" ht="15" customHeight="1">
      <c r="A69" s="130">
        <v>64</v>
      </c>
      <c r="B69" s="45"/>
      <c r="C69" s="40"/>
      <c r="D69" s="38"/>
      <c r="E69" s="39"/>
      <c r="F69" s="39"/>
      <c r="G69" s="40"/>
      <c r="H69" s="17"/>
      <c r="I69" s="132"/>
    </row>
    <row r="70" spans="1:9" s="10" customFormat="1" ht="15" customHeight="1">
      <c r="A70" s="130">
        <v>65</v>
      </c>
      <c r="B70" s="45"/>
      <c r="C70" s="40"/>
      <c r="D70" s="38"/>
      <c r="E70" s="39"/>
      <c r="F70" s="39"/>
      <c r="G70" s="40"/>
      <c r="H70" s="17"/>
      <c r="I70" s="132"/>
    </row>
    <row r="71" spans="1:9" s="10" customFormat="1" ht="15" customHeight="1">
      <c r="A71" s="130">
        <v>66</v>
      </c>
      <c r="B71" s="45"/>
      <c r="C71" s="40"/>
      <c r="D71" s="38"/>
      <c r="E71" s="39"/>
      <c r="F71" s="39"/>
      <c r="G71" s="40"/>
      <c r="H71" s="17"/>
      <c r="I71" s="132"/>
    </row>
    <row r="72" spans="1:9" s="10" customFormat="1" ht="15" customHeight="1">
      <c r="A72" s="130">
        <v>67</v>
      </c>
      <c r="B72" s="45"/>
      <c r="C72" s="40"/>
      <c r="D72" s="38"/>
      <c r="E72" s="39"/>
      <c r="F72" s="39"/>
      <c r="G72" s="40"/>
      <c r="H72" s="17"/>
      <c r="I72" s="132"/>
    </row>
    <row r="73" spans="1:9" s="10" customFormat="1" ht="15" customHeight="1">
      <c r="A73" s="130">
        <v>68</v>
      </c>
      <c r="B73" s="45"/>
      <c r="C73" s="40"/>
      <c r="D73" s="38"/>
      <c r="E73" s="39"/>
      <c r="F73" s="39"/>
      <c r="G73" s="40"/>
      <c r="H73" s="17"/>
      <c r="I73" s="132"/>
    </row>
    <row r="74" spans="1:9" s="10" customFormat="1" ht="15" customHeight="1">
      <c r="A74" s="130">
        <v>69</v>
      </c>
      <c r="B74" s="45"/>
      <c r="C74" s="40"/>
      <c r="D74" s="38"/>
      <c r="E74" s="39"/>
      <c r="F74" s="39"/>
      <c r="G74" s="40"/>
      <c r="H74" s="17"/>
      <c r="I74" s="132"/>
    </row>
    <row r="75" spans="1:9" s="10" customFormat="1" ht="15" customHeight="1">
      <c r="A75" s="130">
        <v>70</v>
      </c>
      <c r="B75" s="45"/>
      <c r="C75" s="40"/>
      <c r="D75" s="38"/>
      <c r="E75" s="39"/>
      <c r="F75" s="39"/>
      <c r="G75" s="40"/>
      <c r="H75" s="17"/>
      <c r="I75" s="132"/>
    </row>
    <row r="76" spans="1:9" s="10" customFormat="1" ht="15" customHeight="1">
      <c r="A76" s="130">
        <v>71</v>
      </c>
      <c r="B76" s="45"/>
      <c r="C76" s="40"/>
      <c r="D76" s="38"/>
      <c r="E76" s="39"/>
      <c r="F76" s="39"/>
      <c r="G76" s="40"/>
      <c r="H76" s="17"/>
      <c r="I76" s="132"/>
    </row>
    <row r="77" spans="1:9" s="10" customFormat="1" ht="15" customHeight="1">
      <c r="A77" s="130">
        <v>72</v>
      </c>
      <c r="B77" s="45"/>
      <c r="C77" s="40"/>
      <c r="D77" s="38"/>
      <c r="E77" s="39"/>
      <c r="F77" s="39"/>
      <c r="G77" s="40"/>
      <c r="H77" s="17"/>
      <c r="I77" s="132"/>
    </row>
    <row r="78" spans="1:9" s="10" customFormat="1" ht="15" customHeight="1">
      <c r="A78" s="130">
        <v>73</v>
      </c>
      <c r="B78" s="45"/>
      <c r="C78" s="40"/>
      <c r="D78" s="38"/>
      <c r="E78" s="39"/>
      <c r="F78" s="39"/>
      <c r="G78" s="40"/>
      <c r="H78" s="17"/>
      <c r="I78" s="132"/>
    </row>
    <row r="79" spans="1:9" s="10" customFormat="1" ht="15" customHeight="1">
      <c r="A79" s="130">
        <v>74</v>
      </c>
      <c r="B79" s="45"/>
      <c r="C79" s="40"/>
      <c r="D79" s="38"/>
      <c r="E79" s="39"/>
      <c r="F79" s="39"/>
      <c r="G79" s="40"/>
      <c r="H79" s="17"/>
      <c r="I79" s="132"/>
    </row>
    <row r="80" spans="1:9" s="10" customFormat="1" ht="15" customHeight="1">
      <c r="A80" s="130">
        <v>75</v>
      </c>
      <c r="B80" s="45"/>
      <c r="C80" s="40"/>
      <c r="D80" s="38"/>
      <c r="E80" s="39"/>
      <c r="F80" s="39"/>
      <c r="G80" s="40"/>
      <c r="H80" s="17"/>
      <c r="I80" s="132"/>
    </row>
    <row r="81" spans="1:9" s="10" customFormat="1" ht="15" customHeight="1">
      <c r="A81" s="130">
        <v>76</v>
      </c>
      <c r="B81" s="45"/>
      <c r="C81" s="40"/>
      <c r="D81" s="38"/>
      <c r="E81" s="39"/>
      <c r="F81" s="39"/>
      <c r="G81" s="40"/>
      <c r="H81" s="17"/>
      <c r="I81" s="132"/>
    </row>
    <row r="82" spans="1:9" s="10" customFormat="1" ht="15" customHeight="1">
      <c r="A82" s="130">
        <v>77</v>
      </c>
      <c r="B82" s="45"/>
      <c r="C82" s="40"/>
      <c r="D82" s="38"/>
      <c r="E82" s="39"/>
      <c r="F82" s="39"/>
      <c r="G82" s="40"/>
      <c r="H82" s="17"/>
      <c r="I82" s="132"/>
    </row>
    <row r="83" spans="1:9" s="10" customFormat="1" ht="15" customHeight="1">
      <c r="A83" s="130">
        <v>78</v>
      </c>
      <c r="B83" s="45"/>
      <c r="C83" s="40"/>
      <c r="D83" s="38"/>
      <c r="E83" s="39"/>
      <c r="F83" s="39"/>
      <c r="G83" s="40"/>
      <c r="H83" s="17"/>
      <c r="I83" s="132"/>
    </row>
    <row r="84" spans="1:9" s="10" customFormat="1" ht="15" customHeight="1">
      <c r="A84" s="130">
        <v>79</v>
      </c>
      <c r="B84" s="45"/>
      <c r="C84" s="40"/>
      <c r="D84" s="38"/>
      <c r="E84" s="39"/>
      <c r="F84" s="39"/>
      <c r="G84" s="40"/>
      <c r="H84" s="17"/>
      <c r="I84" s="132"/>
    </row>
    <row r="85" spans="1:9" s="10" customFormat="1" ht="15" customHeight="1">
      <c r="A85" s="130">
        <v>80</v>
      </c>
      <c r="B85" s="45"/>
      <c r="C85" s="40"/>
      <c r="D85" s="39"/>
      <c r="E85" s="39"/>
      <c r="F85" s="39"/>
      <c r="G85" s="40"/>
      <c r="H85" s="17"/>
      <c r="I85" s="132"/>
    </row>
    <row r="86" spans="1:9" s="10" customFormat="1" ht="15" customHeight="1">
      <c r="A86" s="130">
        <v>81</v>
      </c>
      <c r="B86" s="45"/>
      <c r="C86" s="40"/>
      <c r="D86" s="39"/>
      <c r="E86" s="39"/>
      <c r="F86" s="39"/>
      <c r="G86" s="40"/>
      <c r="H86" s="17"/>
      <c r="I86" s="132"/>
    </row>
    <row r="87" spans="1:9" s="10" customFormat="1" ht="15" customHeight="1">
      <c r="A87" s="130">
        <v>82</v>
      </c>
      <c r="B87" s="45"/>
      <c r="C87" s="40"/>
      <c r="D87" s="39"/>
      <c r="E87" s="39"/>
      <c r="F87" s="39"/>
      <c r="G87" s="40"/>
      <c r="H87" s="17"/>
      <c r="I87" s="132"/>
    </row>
    <row r="88" spans="1:9" s="10" customFormat="1" ht="15" customHeight="1">
      <c r="A88" s="130">
        <v>83</v>
      </c>
      <c r="B88" s="45"/>
      <c r="C88" s="40"/>
      <c r="D88" s="39"/>
      <c r="E88" s="39"/>
      <c r="F88" s="39"/>
      <c r="G88" s="40"/>
      <c r="H88" s="17"/>
      <c r="I88" s="132"/>
    </row>
    <row r="89" spans="1:9" s="10" customFormat="1" ht="15" customHeight="1">
      <c r="A89" s="130">
        <v>84</v>
      </c>
      <c r="B89" s="45"/>
      <c r="C89" s="40"/>
      <c r="D89" s="39"/>
      <c r="E89" s="39"/>
      <c r="F89" s="39"/>
      <c r="G89" s="40"/>
      <c r="H89" s="17"/>
      <c r="I89" s="132"/>
    </row>
    <row r="90" spans="1:9" s="10" customFormat="1" ht="15" customHeight="1">
      <c r="A90" s="130">
        <v>85</v>
      </c>
      <c r="B90" s="45"/>
      <c r="C90" s="40"/>
      <c r="D90" s="39"/>
      <c r="E90" s="39"/>
      <c r="F90" s="39"/>
      <c r="G90" s="40"/>
      <c r="H90" s="17"/>
      <c r="I90" s="132"/>
    </row>
    <row r="91" spans="1:9" s="10" customFormat="1" ht="15" customHeight="1">
      <c r="A91" s="130">
        <v>86</v>
      </c>
      <c r="B91" s="45"/>
      <c r="C91" s="40"/>
      <c r="D91" s="39"/>
      <c r="E91" s="39"/>
      <c r="F91" s="39"/>
      <c r="G91" s="40"/>
      <c r="H91" s="17"/>
      <c r="I91" s="132"/>
    </row>
    <row r="92" spans="1:9" s="10" customFormat="1" ht="15" customHeight="1">
      <c r="A92" s="130">
        <v>87</v>
      </c>
      <c r="B92" s="45"/>
      <c r="C92" s="40"/>
      <c r="D92" s="39"/>
      <c r="E92" s="39"/>
      <c r="F92" s="39"/>
      <c r="G92" s="40"/>
      <c r="H92" s="17"/>
      <c r="I92" s="132"/>
    </row>
    <row r="93" spans="1:9" s="10" customFormat="1" ht="15" customHeight="1">
      <c r="A93" s="130">
        <v>88</v>
      </c>
      <c r="B93" s="45"/>
      <c r="C93" s="40"/>
      <c r="D93" s="39"/>
      <c r="E93" s="39"/>
      <c r="F93" s="39"/>
      <c r="G93" s="40"/>
      <c r="H93" s="17"/>
      <c r="I93" s="132"/>
    </row>
    <row r="94" spans="1:9" s="10" customFormat="1" ht="15" customHeight="1">
      <c r="A94" s="130">
        <v>89</v>
      </c>
      <c r="B94" s="45"/>
      <c r="C94" s="40"/>
      <c r="D94" s="39"/>
      <c r="E94" s="39"/>
      <c r="F94" s="39"/>
      <c r="G94" s="40"/>
      <c r="H94" s="17"/>
      <c r="I94" s="132"/>
    </row>
    <row r="95" spans="1:9" s="10" customFormat="1" ht="15" customHeight="1">
      <c r="A95" s="130">
        <v>90</v>
      </c>
      <c r="B95" s="45"/>
      <c r="C95" s="40"/>
      <c r="D95" s="39"/>
      <c r="E95" s="39"/>
      <c r="F95" s="39"/>
      <c r="G95" s="40"/>
      <c r="H95" s="17"/>
      <c r="I95" s="132"/>
    </row>
    <row r="96" spans="1:9" s="10" customFormat="1" ht="15" customHeight="1">
      <c r="A96" s="130">
        <v>91</v>
      </c>
      <c r="B96" s="45"/>
      <c r="C96" s="40"/>
      <c r="D96" s="39"/>
      <c r="E96" s="39"/>
      <c r="F96" s="39"/>
      <c r="G96" s="40"/>
      <c r="H96" s="17"/>
      <c r="I96" s="132"/>
    </row>
    <row r="97" spans="1:9" s="10" customFormat="1" ht="15" customHeight="1">
      <c r="A97" s="130">
        <v>92</v>
      </c>
      <c r="B97" s="45"/>
      <c r="C97" s="40"/>
      <c r="D97" s="39"/>
      <c r="E97" s="39"/>
      <c r="F97" s="39"/>
      <c r="G97" s="40"/>
      <c r="H97" s="17"/>
      <c r="I97" s="132"/>
    </row>
    <row r="98" spans="1:9" s="10" customFormat="1" ht="15" customHeight="1">
      <c r="A98" s="130">
        <v>93</v>
      </c>
      <c r="B98" s="45"/>
      <c r="C98" s="40"/>
      <c r="D98" s="39"/>
      <c r="E98" s="39"/>
      <c r="F98" s="39"/>
      <c r="G98" s="40"/>
      <c r="H98" s="17"/>
      <c r="I98" s="132"/>
    </row>
    <row r="99" spans="1:9" s="10" customFormat="1" ht="15" customHeight="1">
      <c r="A99" s="130">
        <v>94</v>
      </c>
      <c r="B99" s="45"/>
      <c r="C99" s="40"/>
      <c r="D99" s="39"/>
      <c r="E99" s="39"/>
      <c r="F99" s="39"/>
      <c r="G99" s="40"/>
      <c r="H99" s="17"/>
      <c r="I99" s="132"/>
    </row>
    <row r="100" spans="1:9" s="10" customFormat="1" ht="15" customHeight="1">
      <c r="A100" s="130">
        <v>95</v>
      </c>
      <c r="B100" s="45"/>
      <c r="C100" s="40"/>
      <c r="D100" s="39"/>
      <c r="E100" s="39"/>
      <c r="F100" s="39"/>
      <c r="G100" s="40"/>
      <c r="H100" s="17"/>
      <c r="I100" s="132"/>
    </row>
    <row r="101" spans="1:9" s="10" customFormat="1" ht="15" customHeight="1">
      <c r="A101" s="130">
        <v>96</v>
      </c>
      <c r="B101" s="32"/>
      <c r="C101" s="84"/>
      <c r="D101" s="17"/>
      <c r="E101" s="17"/>
      <c r="F101" s="17"/>
      <c r="G101" s="28"/>
      <c r="H101" s="17"/>
      <c r="I101" s="132"/>
    </row>
    <row r="102" spans="1:9" s="10" customFormat="1" ht="15" customHeight="1">
      <c r="A102" s="130">
        <v>97</v>
      </c>
      <c r="B102" s="32"/>
      <c r="C102" s="28"/>
      <c r="D102" s="17"/>
      <c r="E102" s="17"/>
      <c r="F102" s="17"/>
      <c r="G102" s="28"/>
      <c r="H102" s="17"/>
      <c r="I102" s="132"/>
    </row>
    <row r="103" spans="1:9" s="10" customFormat="1" ht="15" customHeight="1">
      <c r="A103" s="130">
        <v>98</v>
      </c>
      <c r="B103" s="32"/>
      <c r="C103" s="28"/>
      <c r="D103" s="17"/>
      <c r="E103" s="17"/>
      <c r="F103" s="17"/>
      <c r="G103" s="28"/>
      <c r="H103" s="17"/>
      <c r="I103" s="132"/>
    </row>
    <row r="104" spans="1:9" s="10" customFormat="1" ht="15" customHeight="1">
      <c r="A104" s="130">
        <v>99</v>
      </c>
      <c r="B104" s="32"/>
      <c r="C104" s="28"/>
      <c r="D104" s="17"/>
      <c r="E104" s="17"/>
      <c r="F104" s="17"/>
      <c r="G104" s="28"/>
      <c r="H104" s="17"/>
      <c r="I104" s="132"/>
    </row>
    <row r="105" spans="1:9" s="10" customFormat="1" ht="15" customHeight="1">
      <c r="A105" s="133">
        <v>100</v>
      </c>
      <c r="B105" s="134"/>
      <c r="C105" s="136"/>
      <c r="D105" s="135"/>
      <c r="E105" s="135"/>
      <c r="F105" s="135"/>
      <c r="G105" s="136"/>
      <c r="H105" s="135"/>
      <c r="I105" s="137"/>
    </row>
    <row r="106" spans="1:9" ht="20.25">
      <c r="B106" s="41"/>
      <c r="C106" s="42"/>
      <c r="D106" s="42"/>
      <c r="E106" s="42"/>
      <c r="F106" s="42"/>
      <c r="G106" s="42"/>
      <c r="H106" s="42"/>
      <c r="I106" s="42"/>
    </row>
  </sheetData>
  <autoFilter ref="B5:G105" xr:uid="{CE6C056B-1174-47E5-B58F-BD1F5280A530}">
    <sortState xmlns:xlrd2="http://schemas.microsoft.com/office/spreadsheetml/2017/richdata2" ref="B6:G105">
      <sortCondition ref="B5:B105"/>
    </sortState>
  </autoFilter>
  <mergeCells count="5">
    <mergeCell ref="H3:I3"/>
    <mergeCell ref="B1:I2"/>
    <mergeCell ref="A1:A5"/>
    <mergeCell ref="B3:B4"/>
    <mergeCell ref="C3:C4"/>
  </mergeCells>
  <dataValidations count="1">
    <dataValidation allowBlank="1" showErrorMessage="1" sqref="C5:D5" xr:uid="{FD91B01B-9552-4609-9836-572A627C41EB}"/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F6E4E89B-4B45-4B1C-8F28-B1F0DDCB3B43}">
          <x14:formula1>
            <xm:f>DATA!$D$2:$D$17</xm:f>
          </x14:formula1>
          <xm:sqref>C6:C105</xm:sqref>
        </x14:dataValidation>
        <x14:dataValidation type="list" allowBlank="1" showInputMessage="1" showErrorMessage="1" xr:uid="{5E6FD46A-B022-4733-97D3-365894BF1DD8}">
          <x14:formula1>
            <xm:f>DATA!$C$2:$C$6</xm:f>
          </x14:formula1>
          <xm:sqref>G6:G105</xm:sqref>
        </x14:dataValidation>
        <x14:dataValidation type="list" allowBlank="1" showInputMessage="1" showErrorMessage="1" xr:uid="{C3CBAC17-A1F0-453A-9E1E-515248A8A0A8}">
          <x14:formula1>
            <xm:f>DATA!$B$4:$B$10</xm:f>
          </x14:formula1>
          <xm:sqref>H4</xm:sqref>
        </x14:dataValidation>
        <x14:dataValidation type="list" allowBlank="1" showInputMessage="1" showErrorMessage="1" xr:uid="{E2C7356A-75E0-4FDC-B7A0-4B662118844E}">
          <x14:formula1>
            <xm:f>DATA!$B$2:$B$20</xm:f>
          </x14:formula1>
          <xm:sqref>I6:I7 D6:D105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54312-6483-4486-91C3-2091CE95C1DF}">
  <sheetPr codeName="Planilha17"/>
  <dimension ref="A1:L106"/>
  <sheetViews>
    <sheetView zoomScale="90" zoomScaleNormal="90" workbookViewId="0">
      <selection activeCell="B1" sqref="B1:I2"/>
    </sheetView>
  </sheetViews>
  <sheetFormatPr defaultRowHeight="15"/>
  <cols>
    <col min="1" max="1" width="4.42578125" style="49" customWidth="1"/>
    <col min="2" max="2" width="40.7109375" style="43" customWidth="1"/>
    <col min="3" max="3" width="55.7109375" style="44" customWidth="1"/>
    <col min="4" max="4" width="30.7109375" style="44" customWidth="1"/>
    <col min="5" max="5" width="20.7109375" style="44" customWidth="1"/>
    <col min="6" max="6" width="30.7109375" style="44" customWidth="1"/>
    <col min="7" max="7" width="20.7109375" style="44" customWidth="1"/>
    <col min="8" max="8" width="34.7109375" style="44" customWidth="1"/>
    <col min="9" max="9" width="19.7109375" style="44" customWidth="1"/>
    <col min="10" max="10" width="10.5703125" style="10" bestFit="1" customWidth="1"/>
    <col min="11" max="12" width="9.140625" style="10"/>
    <col min="13" max="16384" width="9.140625" style="8"/>
  </cols>
  <sheetData>
    <row r="1" spans="1:10" ht="15" customHeight="1">
      <c r="A1" s="128" t="s">
        <v>58</v>
      </c>
      <c r="B1" s="123" t="s">
        <v>77</v>
      </c>
      <c r="C1" s="101"/>
      <c r="D1" s="101"/>
      <c r="E1" s="101"/>
      <c r="F1" s="101"/>
      <c r="G1" s="101"/>
      <c r="H1" s="101"/>
      <c r="I1" s="102"/>
      <c r="J1" s="9"/>
    </row>
    <row r="2" spans="1:10" ht="33.75" customHeight="1">
      <c r="A2" s="129"/>
      <c r="B2" s="93"/>
      <c r="C2" s="94"/>
      <c r="D2" s="94"/>
      <c r="E2" s="94"/>
      <c r="F2" s="94"/>
      <c r="G2" s="94"/>
      <c r="H2" s="94"/>
      <c r="I2" s="104"/>
      <c r="J2" s="9"/>
    </row>
    <row r="3" spans="1:10" ht="42.75" customHeight="1">
      <c r="A3" s="129"/>
      <c r="B3" s="96" t="s">
        <v>25</v>
      </c>
      <c r="C3" s="98">
        <f>E3-E4-(SUMIFS(E6:E105,G6:G105,"Reserva") + SUMIFS(E6:E105,G6:G105,"Investimento"))</f>
        <v>0</v>
      </c>
      <c r="D3" s="35" t="s">
        <v>36</v>
      </c>
      <c r="E3" s="65">
        <f>SUMIF(($G$6:$G$105),"Receita",($E$6:$E$105))</f>
        <v>0</v>
      </c>
      <c r="F3" s="67" t="s">
        <v>38</v>
      </c>
      <c r="G3" s="34">
        <f>SUMIF(($G$6:$G$105),"Custo",($E$6:$E$105))</f>
        <v>0</v>
      </c>
      <c r="H3" s="95" t="s">
        <v>56</v>
      </c>
      <c r="I3" s="106"/>
    </row>
    <row r="4" spans="1:10" ht="31.5" customHeight="1">
      <c r="A4" s="129"/>
      <c r="B4" s="97"/>
      <c r="C4" s="99"/>
      <c r="D4" s="35" t="s">
        <v>37</v>
      </c>
      <c r="E4" s="65">
        <f>G3+G4</f>
        <v>0</v>
      </c>
      <c r="F4" s="67" t="s">
        <v>39</v>
      </c>
      <c r="G4" s="34">
        <f>SUMIF(($G$6:$G$105),"Gasto",($E$6:$E$105))</f>
        <v>0</v>
      </c>
      <c r="H4" s="66" t="s">
        <v>0</v>
      </c>
      <c r="I4" s="108">
        <f>SUMIF(D6:D105,H4,E6:E105)</f>
        <v>0</v>
      </c>
    </row>
    <row r="5" spans="1:10" ht="23.25" customHeight="1">
      <c r="A5" s="129"/>
      <c r="B5" s="18" t="s">
        <v>20</v>
      </c>
      <c r="C5" s="13" t="s">
        <v>15</v>
      </c>
      <c r="D5" s="13" t="s">
        <v>16</v>
      </c>
      <c r="E5" s="13" t="s">
        <v>17</v>
      </c>
      <c r="F5" s="13" t="s">
        <v>18</v>
      </c>
      <c r="G5" s="13" t="s">
        <v>19</v>
      </c>
      <c r="H5" s="14"/>
      <c r="I5" s="110"/>
    </row>
    <row r="6" spans="1:10" s="10" customFormat="1" ht="20.100000000000001" customHeight="1">
      <c r="A6" s="130">
        <v>1</v>
      </c>
      <c r="B6" s="32"/>
      <c r="C6" s="28"/>
      <c r="D6" s="28"/>
      <c r="E6" s="24"/>
      <c r="F6" s="28"/>
      <c r="G6" s="28"/>
      <c r="H6" s="33"/>
      <c r="I6" s="112"/>
      <c r="J6" s="11"/>
    </row>
    <row r="7" spans="1:10" s="10" customFormat="1" ht="20.100000000000001" customHeight="1">
      <c r="A7" s="130">
        <v>2</v>
      </c>
      <c r="B7" s="48"/>
      <c r="C7" s="28"/>
      <c r="D7" s="29"/>
      <c r="E7" s="23"/>
      <c r="F7" s="26"/>
      <c r="G7" s="28"/>
      <c r="H7" s="33"/>
      <c r="I7" s="112"/>
      <c r="J7" s="12"/>
    </row>
    <row r="8" spans="1:10" s="10" customFormat="1" ht="20.100000000000001" customHeight="1">
      <c r="A8" s="130">
        <v>3</v>
      </c>
      <c r="B8" s="32"/>
      <c r="C8" s="28"/>
      <c r="D8" s="28"/>
      <c r="E8" s="24"/>
      <c r="F8" s="57"/>
      <c r="G8" s="28"/>
      <c r="H8" s="17"/>
      <c r="I8" s="131"/>
      <c r="J8" s="12"/>
    </row>
    <row r="9" spans="1:10" s="10" customFormat="1" ht="20.100000000000001" customHeight="1">
      <c r="A9" s="130">
        <v>4</v>
      </c>
      <c r="B9" s="32"/>
      <c r="C9" s="30"/>
      <c r="D9" s="28"/>
      <c r="E9" s="24"/>
      <c r="F9" s="28"/>
      <c r="G9" s="28"/>
      <c r="H9" s="17"/>
      <c r="I9" s="131"/>
      <c r="J9" s="12"/>
    </row>
    <row r="10" spans="1:10" s="10" customFormat="1" ht="20.100000000000001" customHeight="1">
      <c r="A10" s="130">
        <v>5</v>
      </c>
      <c r="B10" s="32"/>
      <c r="C10" s="28"/>
      <c r="D10" s="28"/>
      <c r="E10" s="24"/>
      <c r="F10" s="28"/>
      <c r="G10" s="28"/>
      <c r="H10" s="17"/>
      <c r="I10" s="131"/>
      <c r="J10" s="12"/>
    </row>
    <row r="11" spans="1:10" s="10" customFormat="1" ht="20.100000000000001" customHeight="1">
      <c r="A11" s="130">
        <v>6</v>
      </c>
      <c r="B11" s="32"/>
      <c r="C11" s="28"/>
      <c r="D11" s="28"/>
      <c r="E11" s="24"/>
      <c r="F11" s="28"/>
      <c r="G11" s="28"/>
      <c r="H11" s="17"/>
      <c r="I11" s="131"/>
      <c r="J11" s="12"/>
    </row>
    <row r="12" spans="1:10" s="10" customFormat="1" ht="20.100000000000001" customHeight="1">
      <c r="A12" s="130">
        <v>7</v>
      </c>
      <c r="B12" s="32"/>
      <c r="C12" s="28"/>
      <c r="D12" s="28"/>
      <c r="E12" s="24"/>
      <c r="F12" s="57"/>
      <c r="G12" s="30"/>
      <c r="H12" s="17"/>
      <c r="I12" s="131"/>
      <c r="J12" s="12"/>
    </row>
    <row r="13" spans="1:10" s="10" customFormat="1" ht="20.100000000000001" customHeight="1">
      <c r="A13" s="130">
        <v>8</v>
      </c>
      <c r="B13" s="32"/>
      <c r="C13" s="28"/>
      <c r="D13" s="28"/>
      <c r="E13" s="24"/>
      <c r="F13" s="57"/>
      <c r="G13" s="30"/>
      <c r="H13" s="17"/>
      <c r="I13" s="132"/>
    </row>
    <row r="14" spans="1:10" s="10" customFormat="1" ht="20.100000000000001" customHeight="1">
      <c r="A14" s="130">
        <v>9</v>
      </c>
      <c r="B14" s="48"/>
      <c r="C14" s="31"/>
      <c r="D14" s="29"/>
      <c r="E14" s="23"/>
      <c r="F14" s="26"/>
      <c r="G14" s="28"/>
      <c r="H14" s="17"/>
      <c r="I14" s="132"/>
    </row>
    <row r="15" spans="1:10" s="10" customFormat="1" ht="20.100000000000001" customHeight="1">
      <c r="A15" s="130">
        <v>10</v>
      </c>
      <c r="B15" s="48"/>
      <c r="C15" s="30"/>
      <c r="D15" s="29"/>
      <c r="E15" s="23"/>
      <c r="F15" s="26"/>
      <c r="G15" s="28"/>
      <c r="H15" s="17"/>
      <c r="I15" s="132"/>
    </row>
    <row r="16" spans="1:10" s="10" customFormat="1" ht="20.100000000000001" customHeight="1">
      <c r="A16" s="130">
        <v>11</v>
      </c>
      <c r="B16" s="47"/>
      <c r="C16" s="28"/>
      <c r="D16" s="29"/>
      <c r="E16" s="22"/>
      <c r="F16" s="25"/>
      <c r="G16" s="29"/>
      <c r="H16" s="17"/>
      <c r="I16" s="132"/>
    </row>
    <row r="17" spans="1:9" s="10" customFormat="1" ht="20.100000000000001" customHeight="1">
      <c r="A17" s="130">
        <v>12</v>
      </c>
      <c r="B17" s="32"/>
      <c r="C17" s="28"/>
      <c r="D17" s="29"/>
      <c r="E17" s="24"/>
      <c r="F17" s="27"/>
      <c r="G17" s="30"/>
      <c r="H17" s="17"/>
      <c r="I17" s="132"/>
    </row>
    <row r="18" spans="1:9" s="10" customFormat="1" ht="20.100000000000001" customHeight="1">
      <c r="A18" s="130">
        <v>13</v>
      </c>
      <c r="B18" s="48"/>
      <c r="C18" s="28"/>
      <c r="D18" s="29"/>
      <c r="E18" s="23"/>
      <c r="F18" s="26"/>
      <c r="G18" s="28"/>
      <c r="H18" s="17"/>
      <c r="I18" s="132"/>
    </row>
    <row r="19" spans="1:9" s="10" customFormat="1" ht="20.100000000000001" customHeight="1">
      <c r="A19" s="130">
        <v>14</v>
      </c>
      <c r="B19" s="48"/>
      <c r="C19" s="31"/>
      <c r="D19" s="31"/>
      <c r="E19" s="23"/>
      <c r="F19" s="26"/>
      <c r="G19" s="28"/>
      <c r="H19" s="17"/>
      <c r="I19" s="132"/>
    </row>
    <row r="20" spans="1:9" s="10" customFormat="1" ht="20.100000000000001" customHeight="1">
      <c r="A20" s="130">
        <v>15</v>
      </c>
      <c r="B20" s="60"/>
      <c r="C20" s="30"/>
      <c r="D20" s="30"/>
      <c r="E20" s="61"/>
      <c r="F20" s="62"/>
      <c r="G20" s="30"/>
      <c r="H20" s="17"/>
      <c r="I20" s="132"/>
    </row>
    <row r="21" spans="1:9" s="10" customFormat="1" ht="20.100000000000001" customHeight="1">
      <c r="A21" s="130">
        <v>16</v>
      </c>
      <c r="B21" s="32"/>
      <c r="C21" s="21"/>
      <c r="D21" s="31"/>
      <c r="E21" s="24"/>
      <c r="F21" s="28"/>
      <c r="G21" s="28"/>
      <c r="H21" s="17"/>
      <c r="I21" s="132"/>
    </row>
    <row r="22" spans="1:9" s="10" customFormat="1" ht="20.100000000000001" customHeight="1">
      <c r="A22" s="130">
        <v>17</v>
      </c>
      <c r="B22" s="32"/>
      <c r="C22" s="21"/>
      <c r="D22" s="28"/>
      <c r="E22" s="24"/>
      <c r="F22" s="28"/>
      <c r="G22" s="28"/>
      <c r="H22" s="17"/>
      <c r="I22" s="132"/>
    </row>
    <row r="23" spans="1:9" s="10" customFormat="1" ht="20.100000000000001" customHeight="1">
      <c r="A23" s="130">
        <v>18</v>
      </c>
      <c r="B23" s="48"/>
      <c r="C23" s="20"/>
      <c r="D23" s="31"/>
      <c r="E23" s="23"/>
      <c r="F23" s="26"/>
      <c r="G23" s="28"/>
      <c r="H23" s="17"/>
      <c r="I23" s="132"/>
    </row>
    <row r="24" spans="1:9" s="10" customFormat="1" ht="20.100000000000001" customHeight="1">
      <c r="A24" s="130">
        <v>19</v>
      </c>
      <c r="B24" s="32"/>
      <c r="C24" s="21"/>
      <c r="D24" s="28"/>
      <c r="E24" s="24"/>
      <c r="F24" s="28"/>
      <c r="G24" s="28"/>
      <c r="H24" s="17"/>
      <c r="I24" s="132"/>
    </row>
    <row r="25" spans="1:9" s="10" customFormat="1" ht="20.100000000000001" customHeight="1">
      <c r="A25" s="130">
        <v>20</v>
      </c>
      <c r="B25" s="32"/>
      <c r="C25" s="21"/>
      <c r="D25" s="28"/>
      <c r="E25" s="24"/>
      <c r="F25" s="28"/>
      <c r="G25" s="28"/>
      <c r="H25" s="17"/>
      <c r="I25" s="132"/>
    </row>
    <row r="26" spans="1:9" s="10" customFormat="1" ht="20.100000000000001" customHeight="1">
      <c r="A26" s="130">
        <v>21</v>
      </c>
      <c r="B26" s="32"/>
      <c r="C26" s="21"/>
      <c r="D26" s="28"/>
      <c r="E26" s="24"/>
      <c r="F26" s="28"/>
      <c r="G26" s="28"/>
      <c r="H26" s="17"/>
      <c r="I26" s="132"/>
    </row>
    <row r="27" spans="1:9" s="10" customFormat="1" ht="20.100000000000001" customHeight="1">
      <c r="A27" s="130">
        <v>22</v>
      </c>
      <c r="B27" s="32"/>
      <c r="C27" s="21"/>
      <c r="D27" s="28"/>
      <c r="E27" s="24"/>
      <c r="F27" s="28"/>
      <c r="G27" s="28"/>
      <c r="H27" s="17"/>
      <c r="I27" s="132"/>
    </row>
    <row r="28" spans="1:9" s="10" customFormat="1" ht="20.100000000000001" customHeight="1">
      <c r="A28" s="130">
        <v>23</v>
      </c>
      <c r="B28" s="32"/>
      <c r="C28" s="21"/>
      <c r="D28" s="28"/>
      <c r="E28" s="24"/>
      <c r="F28" s="28"/>
      <c r="G28" s="28"/>
      <c r="H28" s="17"/>
      <c r="I28" s="132"/>
    </row>
    <row r="29" spans="1:9" s="10" customFormat="1" ht="20.100000000000001" customHeight="1">
      <c r="A29" s="130">
        <v>24</v>
      </c>
      <c r="B29" s="32"/>
      <c r="C29" s="21"/>
      <c r="D29" s="28"/>
      <c r="E29" s="24"/>
      <c r="F29" s="28"/>
      <c r="G29" s="28"/>
      <c r="H29" s="17"/>
      <c r="I29" s="132"/>
    </row>
    <row r="30" spans="1:9" s="10" customFormat="1" ht="20.100000000000001" customHeight="1">
      <c r="A30" s="130">
        <v>25</v>
      </c>
      <c r="B30" s="32"/>
      <c r="C30" s="21"/>
      <c r="D30" s="31"/>
      <c r="E30" s="24"/>
      <c r="F30" s="28"/>
      <c r="G30" s="28"/>
      <c r="H30" s="17"/>
      <c r="I30" s="132"/>
    </row>
    <row r="31" spans="1:9" s="10" customFormat="1" ht="20.100000000000001" customHeight="1">
      <c r="A31" s="130">
        <v>26</v>
      </c>
      <c r="B31" s="32"/>
      <c r="C31" s="21"/>
      <c r="D31" s="28"/>
      <c r="E31" s="24"/>
      <c r="F31" s="28"/>
      <c r="G31" s="28"/>
      <c r="H31" s="17"/>
      <c r="I31" s="132"/>
    </row>
    <row r="32" spans="1:9" s="10" customFormat="1" ht="20.100000000000001" customHeight="1">
      <c r="A32" s="130">
        <v>27</v>
      </c>
      <c r="B32" s="32"/>
      <c r="C32" s="21"/>
      <c r="D32" s="28"/>
      <c r="E32" s="24"/>
      <c r="F32" s="28"/>
      <c r="G32" s="28"/>
      <c r="H32" s="17"/>
      <c r="I32" s="132"/>
    </row>
    <row r="33" spans="1:9" s="10" customFormat="1" ht="20.100000000000001" customHeight="1">
      <c r="A33" s="130">
        <v>28</v>
      </c>
      <c r="B33" s="32"/>
      <c r="C33" s="21"/>
      <c r="D33" s="28"/>
      <c r="E33" s="24"/>
      <c r="F33" s="27"/>
      <c r="G33" s="28"/>
      <c r="H33" s="17"/>
      <c r="I33" s="132"/>
    </row>
    <row r="34" spans="1:9" s="10" customFormat="1" ht="20.100000000000001" customHeight="1">
      <c r="A34" s="130">
        <v>29</v>
      </c>
      <c r="B34" s="32"/>
      <c r="C34" s="21"/>
      <c r="D34" s="28"/>
      <c r="E34" s="24"/>
      <c r="F34" s="27"/>
      <c r="G34" s="28"/>
      <c r="H34" s="17"/>
      <c r="I34" s="132"/>
    </row>
    <row r="35" spans="1:9" s="10" customFormat="1" ht="20.100000000000001" customHeight="1">
      <c r="A35" s="130">
        <v>30</v>
      </c>
      <c r="B35" s="32"/>
      <c r="C35" s="21"/>
      <c r="D35" s="28"/>
      <c r="E35" s="24"/>
      <c r="F35" s="27"/>
      <c r="G35" s="28"/>
      <c r="H35" s="17"/>
      <c r="I35" s="132"/>
    </row>
    <row r="36" spans="1:9" s="10" customFormat="1" ht="20.100000000000001" customHeight="1">
      <c r="A36" s="130">
        <v>31</v>
      </c>
      <c r="B36" s="32"/>
      <c r="C36" s="21"/>
      <c r="D36" s="28"/>
      <c r="E36" s="24"/>
      <c r="F36" s="27"/>
      <c r="G36" s="28"/>
      <c r="H36" s="17"/>
      <c r="I36" s="132"/>
    </row>
    <row r="37" spans="1:9" s="10" customFormat="1" ht="20.100000000000001" customHeight="1">
      <c r="A37" s="130">
        <v>32</v>
      </c>
      <c r="B37" s="32"/>
      <c r="C37" s="21"/>
      <c r="D37" s="17"/>
      <c r="E37" s="17"/>
      <c r="F37" s="17"/>
      <c r="G37" s="28"/>
      <c r="H37" s="17"/>
      <c r="I37" s="132"/>
    </row>
    <row r="38" spans="1:9" s="10" customFormat="1" ht="20.100000000000001" customHeight="1">
      <c r="A38" s="130">
        <v>33</v>
      </c>
      <c r="B38" s="32"/>
      <c r="C38" s="21"/>
      <c r="D38" s="17"/>
      <c r="E38" s="17"/>
      <c r="F38" s="17"/>
      <c r="G38" s="28"/>
      <c r="H38" s="17"/>
      <c r="I38" s="132"/>
    </row>
    <row r="39" spans="1:9" s="10" customFormat="1" ht="20.100000000000001" customHeight="1">
      <c r="A39" s="130">
        <v>34</v>
      </c>
      <c r="B39" s="32"/>
      <c r="C39" s="21"/>
      <c r="D39" s="17"/>
      <c r="E39" s="17"/>
      <c r="F39" s="17"/>
      <c r="G39" s="28"/>
      <c r="H39" s="17"/>
      <c r="I39" s="132"/>
    </row>
    <row r="40" spans="1:9" s="10" customFormat="1" ht="20.100000000000001" customHeight="1">
      <c r="A40" s="130">
        <v>35</v>
      </c>
      <c r="B40" s="32"/>
      <c r="C40" s="21"/>
      <c r="D40" s="17"/>
      <c r="E40" s="17"/>
      <c r="F40" s="17"/>
      <c r="G40" s="28"/>
      <c r="H40" s="17"/>
      <c r="I40" s="132"/>
    </row>
    <row r="41" spans="1:9" s="10" customFormat="1" ht="20.100000000000001" customHeight="1">
      <c r="A41" s="130">
        <v>36</v>
      </c>
      <c r="B41" s="32"/>
      <c r="C41" s="15"/>
      <c r="D41" s="17"/>
      <c r="E41" s="17"/>
      <c r="F41" s="17"/>
      <c r="G41" s="28"/>
      <c r="H41" s="17"/>
      <c r="I41" s="132"/>
    </row>
    <row r="42" spans="1:9" s="10" customFormat="1" ht="20.100000000000001" customHeight="1">
      <c r="A42" s="130">
        <v>37</v>
      </c>
      <c r="B42" s="32"/>
      <c r="C42" s="15"/>
      <c r="D42" s="17"/>
      <c r="E42" s="17"/>
      <c r="F42" s="36"/>
      <c r="G42" s="28"/>
      <c r="H42" s="17"/>
      <c r="I42" s="132"/>
    </row>
    <row r="43" spans="1:9" s="10" customFormat="1" ht="20.100000000000001" customHeight="1">
      <c r="A43" s="130">
        <v>38</v>
      </c>
      <c r="B43" s="45"/>
      <c r="C43" s="37"/>
      <c r="D43" s="38"/>
      <c r="E43" s="39"/>
      <c r="F43" s="39"/>
      <c r="G43" s="28"/>
      <c r="H43" s="17"/>
      <c r="I43" s="132"/>
    </row>
    <row r="44" spans="1:9" s="10" customFormat="1" ht="20.100000000000001" customHeight="1">
      <c r="A44" s="130">
        <v>39</v>
      </c>
      <c r="B44" s="45"/>
      <c r="C44" s="37"/>
      <c r="D44" s="38"/>
      <c r="E44" s="39"/>
      <c r="F44" s="39"/>
      <c r="G44" s="28"/>
      <c r="H44" s="17"/>
      <c r="I44" s="132"/>
    </row>
    <row r="45" spans="1:9" s="10" customFormat="1" ht="20.100000000000001" customHeight="1">
      <c r="A45" s="130">
        <v>40</v>
      </c>
      <c r="B45" s="45"/>
      <c r="C45" s="37"/>
      <c r="D45" s="38"/>
      <c r="E45" s="39"/>
      <c r="F45" s="39"/>
      <c r="G45" s="28"/>
      <c r="H45" s="17"/>
      <c r="I45" s="132"/>
    </row>
    <row r="46" spans="1:9" s="10" customFormat="1" ht="20.100000000000001" customHeight="1">
      <c r="A46" s="130">
        <v>41</v>
      </c>
      <c r="B46" s="45"/>
      <c r="C46" s="37"/>
      <c r="D46" s="38"/>
      <c r="E46" s="39"/>
      <c r="F46" s="39"/>
      <c r="G46" s="40"/>
      <c r="H46" s="17"/>
      <c r="I46" s="132"/>
    </row>
    <row r="47" spans="1:9" s="10" customFormat="1" ht="20.100000000000001" customHeight="1">
      <c r="A47" s="130">
        <v>42</v>
      </c>
      <c r="B47" s="45"/>
      <c r="C47" s="37"/>
      <c r="D47" s="38"/>
      <c r="E47" s="39"/>
      <c r="F47" s="39"/>
      <c r="G47" s="40"/>
      <c r="H47" s="17"/>
      <c r="I47" s="132"/>
    </row>
    <row r="48" spans="1:9" s="10" customFormat="1" ht="20.100000000000001" customHeight="1">
      <c r="A48" s="130">
        <v>43</v>
      </c>
      <c r="B48" s="45"/>
      <c r="C48" s="37"/>
      <c r="D48" s="38"/>
      <c r="E48" s="39"/>
      <c r="F48" s="39"/>
      <c r="G48" s="40"/>
      <c r="H48" s="17"/>
      <c r="I48" s="132"/>
    </row>
    <row r="49" spans="1:9" s="10" customFormat="1" ht="20.100000000000001" customHeight="1">
      <c r="A49" s="130">
        <v>44</v>
      </c>
      <c r="B49" s="45"/>
      <c r="C49" s="37"/>
      <c r="D49" s="38"/>
      <c r="E49" s="39"/>
      <c r="F49" s="39"/>
      <c r="G49" s="40"/>
      <c r="H49" s="17"/>
      <c r="I49" s="132"/>
    </row>
    <row r="50" spans="1:9" s="10" customFormat="1" ht="20.100000000000001" customHeight="1">
      <c r="A50" s="130">
        <v>45</v>
      </c>
      <c r="B50" s="45"/>
      <c r="C50" s="37"/>
      <c r="D50" s="38"/>
      <c r="E50" s="39"/>
      <c r="F50" s="39"/>
      <c r="G50" s="40"/>
      <c r="H50" s="17"/>
      <c r="I50" s="132"/>
    </row>
    <row r="51" spans="1:9" s="10" customFormat="1" ht="20.100000000000001" customHeight="1">
      <c r="A51" s="130">
        <v>46</v>
      </c>
      <c r="B51" s="45"/>
      <c r="C51" s="37"/>
      <c r="D51" s="38"/>
      <c r="E51" s="39"/>
      <c r="F51" s="39"/>
      <c r="G51" s="40"/>
      <c r="H51" s="17"/>
      <c r="I51" s="132"/>
    </row>
    <row r="52" spans="1:9" s="10" customFormat="1" ht="20.100000000000001" customHeight="1">
      <c r="A52" s="130">
        <v>47</v>
      </c>
      <c r="B52" s="45"/>
      <c r="C52" s="37"/>
      <c r="D52" s="38"/>
      <c r="E52" s="39"/>
      <c r="F52" s="39"/>
      <c r="G52" s="40"/>
      <c r="H52" s="17"/>
      <c r="I52" s="132"/>
    </row>
    <row r="53" spans="1:9" s="10" customFormat="1" ht="20.100000000000001" customHeight="1">
      <c r="A53" s="130">
        <v>48</v>
      </c>
      <c r="B53" s="45"/>
      <c r="C53" s="37"/>
      <c r="D53" s="38"/>
      <c r="E53" s="39"/>
      <c r="F53" s="39"/>
      <c r="G53" s="40"/>
      <c r="H53" s="17"/>
      <c r="I53" s="132"/>
    </row>
    <row r="54" spans="1:9" s="10" customFormat="1" ht="20.100000000000001" customHeight="1">
      <c r="A54" s="130">
        <v>49</v>
      </c>
      <c r="B54" s="45"/>
      <c r="C54" s="37"/>
      <c r="D54" s="38"/>
      <c r="E54" s="39"/>
      <c r="F54" s="39"/>
      <c r="G54" s="40"/>
      <c r="H54" s="17"/>
      <c r="I54" s="132"/>
    </row>
    <row r="55" spans="1:9" s="10" customFormat="1" ht="20.100000000000001" customHeight="1">
      <c r="A55" s="130">
        <v>50</v>
      </c>
      <c r="B55" s="45"/>
      <c r="C55" s="37"/>
      <c r="D55" s="38"/>
      <c r="E55" s="39"/>
      <c r="F55" s="39"/>
      <c r="G55" s="40"/>
      <c r="H55" s="17"/>
      <c r="I55" s="132"/>
    </row>
    <row r="56" spans="1:9" s="10" customFormat="1" ht="20.100000000000001" customHeight="1">
      <c r="A56" s="130">
        <v>51</v>
      </c>
      <c r="B56" s="45"/>
      <c r="C56" s="37"/>
      <c r="D56" s="38"/>
      <c r="E56" s="39"/>
      <c r="F56" s="39"/>
      <c r="G56" s="40"/>
      <c r="H56" s="17"/>
      <c r="I56" s="132"/>
    </row>
    <row r="57" spans="1:9" s="10" customFormat="1" ht="20.100000000000001" customHeight="1">
      <c r="A57" s="130">
        <v>52</v>
      </c>
      <c r="B57" s="45"/>
      <c r="C57" s="37"/>
      <c r="D57" s="38"/>
      <c r="E57" s="39"/>
      <c r="F57" s="39"/>
      <c r="G57" s="40"/>
      <c r="H57" s="17"/>
      <c r="I57" s="132"/>
    </row>
    <row r="58" spans="1:9" s="10" customFormat="1" ht="20.100000000000001" customHeight="1">
      <c r="A58" s="130">
        <v>53</v>
      </c>
      <c r="B58" s="45"/>
      <c r="C58" s="37"/>
      <c r="D58" s="38"/>
      <c r="E58" s="39"/>
      <c r="F58" s="39"/>
      <c r="G58" s="40"/>
      <c r="H58" s="17"/>
      <c r="I58" s="132"/>
    </row>
    <row r="59" spans="1:9" s="10" customFormat="1" ht="20.100000000000001" customHeight="1">
      <c r="A59" s="130">
        <v>54</v>
      </c>
      <c r="B59" s="45"/>
      <c r="C59" s="37"/>
      <c r="D59" s="38"/>
      <c r="E59" s="39"/>
      <c r="F59" s="39"/>
      <c r="G59" s="40"/>
      <c r="H59" s="17"/>
      <c r="I59" s="132"/>
    </row>
    <row r="60" spans="1:9" s="10" customFormat="1" ht="20.100000000000001" customHeight="1">
      <c r="A60" s="130">
        <v>55</v>
      </c>
      <c r="B60" s="45"/>
      <c r="C60" s="37"/>
      <c r="D60" s="38"/>
      <c r="E60" s="39"/>
      <c r="F60" s="39"/>
      <c r="G60" s="40"/>
      <c r="H60" s="17"/>
      <c r="I60" s="132"/>
    </row>
    <row r="61" spans="1:9" s="10" customFormat="1" ht="20.100000000000001" customHeight="1">
      <c r="A61" s="130">
        <v>56</v>
      </c>
      <c r="B61" s="32"/>
      <c r="C61" s="15"/>
      <c r="D61" s="17"/>
      <c r="E61" s="17"/>
      <c r="F61" s="17"/>
      <c r="G61" s="40"/>
      <c r="H61" s="17"/>
      <c r="I61" s="132"/>
    </row>
    <row r="62" spans="1:9" s="10" customFormat="1" ht="20.100000000000001" customHeight="1">
      <c r="A62" s="130">
        <v>57</v>
      </c>
      <c r="B62" s="32"/>
      <c r="C62" s="15"/>
      <c r="D62" s="17"/>
      <c r="E62" s="17"/>
      <c r="F62" s="17"/>
      <c r="G62" s="40"/>
      <c r="H62" s="17"/>
      <c r="I62" s="132"/>
    </row>
    <row r="63" spans="1:9" s="10" customFormat="1" ht="20.100000000000001" customHeight="1">
      <c r="A63" s="130">
        <v>58</v>
      </c>
      <c r="B63" s="32"/>
      <c r="C63" s="15"/>
      <c r="D63" s="17"/>
      <c r="E63" s="17"/>
      <c r="F63" s="17"/>
      <c r="G63" s="40"/>
      <c r="H63" s="17"/>
      <c r="I63" s="132"/>
    </row>
    <row r="64" spans="1:9" s="10" customFormat="1" ht="20.100000000000001" customHeight="1">
      <c r="A64" s="130">
        <v>59</v>
      </c>
      <c r="B64" s="45"/>
      <c r="C64" s="37"/>
      <c r="D64" s="38"/>
      <c r="E64" s="39"/>
      <c r="F64" s="39"/>
      <c r="G64" s="40"/>
      <c r="H64" s="17"/>
      <c r="I64" s="132"/>
    </row>
    <row r="65" spans="1:9" s="10" customFormat="1" ht="20.100000000000001" customHeight="1">
      <c r="A65" s="130">
        <v>60</v>
      </c>
      <c r="B65" s="45"/>
      <c r="C65" s="37"/>
      <c r="D65" s="38"/>
      <c r="E65" s="39"/>
      <c r="F65" s="39"/>
      <c r="G65" s="40"/>
      <c r="H65" s="17"/>
      <c r="I65" s="132"/>
    </row>
    <row r="66" spans="1:9" s="10" customFormat="1" ht="20.100000000000001" customHeight="1">
      <c r="A66" s="130">
        <v>61</v>
      </c>
      <c r="B66" s="45"/>
      <c r="C66" s="37"/>
      <c r="D66" s="38"/>
      <c r="E66" s="39"/>
      <c r="F66" s="39"/>
      <c r="G66" s="40"/>
      <c r="H66" s="17"/>
      <c r="I66" s="132"/>
    </row>
    <row r="67" spans="1:9" s="10" customFormat="1" ht="20.100000000000001" customHeight="1">
      <c r="A67" s="130">
        <v>62</v>
      </c>
      <c r="B67" s="45"/>
      <c r="C67" s="37"/>
      <c r="D67" s="38"/>
      <c r="E67" s="39"/>
      <c r="F67" s="39"/>
      <c r="G67" s="40"/>
      <c r="H67" s="17"/>
      <c r="I67" s="132"/>
    </row>
    <row r="68" spans="1:9" s="10" customFormat="1" ht="20.100000000000001" customHeight="1">
      <c r="A68" s="130">
        <v>63</v>
      </c>
      <c r="B68" s="45"/>
      <c r="C68" s="37"/>
      <c r="D68" s="38"/>
      <c r="E68" s="39"/>
      <c r="F68" s="39"/>
      <c r="G68" s="40"/>
      <c r="H68" s="17"/>
      <c r="I68" s="132"/>
    </row>
    <row r="69" spans="1:9" s="10" customFormat="1" ht="15" customHeight="1">
      <c r="A69" s="130">
        <v>64</v>
      </c>
      <c r="B69" s="45"/>
      <c r="C69" s="37"/>
      <c r="D69" s="38"/>
      <c r="E69" s="39"/>
      <c r="F69" s="39"/>
      <c r="G69" s="40"/>
      <c r="H69" s="17"/>
      <c r="I69" s="132"/>
    </row>
    <row r="70" spans="1:9" s="10" customFormat="1" ht="15" customHeight="1">
      <c r="A70" s="130">
        <v>65</v>
      </c>
      <c r="B70" s="45"/>
      <c r="C70" s="37"/>
      <c r="D70" s="38"/>
      <c r="E70" s="39"/>
      <c r="F70" s="39"/>
      <c r="G70" s="40"/>
      <c r="H70" s="17"/>
      <c r="I70" s="132"/>
    </row>
    <row r="71" spans="1:9" s="10" customFormat="1" ht="15" customHeight="1">
      <c r="A71" s="130">
        <v>66</v>
      </c>
      <c r="B71" s="45"/>
      <c r="C71" s="37"/>
      <c r="D71" s="38"/>
      <c r="E71" s="39"/>
      <c r="F71" s="39"/>
      <c r="G71" s="40"/>
      <c r="H71" s="17"/>
      <c r="I71" s="132"/>
    </row>
    <row r="72" spans="1:9" s="10" customFormat="1" ht="15" customHeight="1">
      <c r="A72" s="130">
        <v>67</v>
      </c>
      <c r="B72" s="45"/>
      <c r="C72" s="37"/>
      <c r="D72" s="38"/>
      <c r="E72" s="39"/>
      <c r="F72" s="39"/>
      <c r="G72" s="40"/>
      <c r="H72" s="17"/>
      <c r="I72" s="132"/>
    </row>
    <row r="73" spans="1:9" s="10" customFormat="1" ht="15" customHeight="1">
      <c r="A73" s="130">
        <v>68</v>
      </c>
      <c r="B73" s="45"/>
      <c r="C73" s="37"/>
      <c r="D73" s="38"/>
      <c r="E73" s="39"/>
      <c r="F73" s="39"/>
      <c r="G73" s="40"/>
      <c r="H73" s="17"/>
      <c r="I73" s="132"/>
    </row>
    <row r="74" spans="1:9" s="10" customFormat="1" ht="15" customHeight="1">
      <c r="A74" s="130">
        <v>69</v>
      </c>
      <c r="B74" s="45"/>
      <c r="C74" s="37"/>
      <c r="D74" s="38"/>
      <c r="E74" s="39"/>
      <c r="F74" s="39"/>
      <c r="G74" s="40"/>
      <c r="H74" s="17"/>
      <c r="I74" s="132"/>
    </row>
    <row r="75" spans="1:9" s="10" customFormat="1" ht="15" customHeight="1">
      <c r="A75" s="130">
        <v>70</v>
      </c>
      <c r="B75" s="45"/>
      <c r="C75" s="37"/>
      <c r="D75" s="38"/>
      <c r="E75" s="39"/>
      <c r="F75" s="39"/>
      <c r="G75" s="40"/>
      <c r="H75" s="17"/>
      <c r="I75" s="132"/>
    </row>
    <row r="76" spans="1:9" s="10" customFormat="1" ht="15" customHeight="1">
      <c r="A76" s="130">
        <v>71</v>
      </c>
      <c r="B76" s="45"/>
      <c r="C76" s="37"/>
      <c r="D76" s="38"/>
      <c r="E76" s="39"/>
      <c r="F76" s="39"/>
      <c r="G76" s="40"/>
      <c r="H76" s="17"/>
      <c r="I76" s="132"/>
    </row>
    <row r="77" spans="1:9" s="10" customFormat="1" ht="15" customHeight="1">
      <c r="A77" s="130">
        <v>72</v>
      </c>
      <c r="B77" s="45"/>
      <c r="C77" s="37"/>
      <c r="D77" s="38"/>
      <c r="E77" s="39"/>
      <c r="F77" s="39"/>
      <c r="G77" s="40"/>
      <c r="H77" s="17"/>
      <c r="I77" s="132"/>
    </row>
    <row r="78" spans="1:9" s="10" customFormat="1" ht="15" customHeight="1">
      <c r="A78" s="130">
        <v>73</v>
      </c>
      <c r="B78" s="45"/>
      <c r="C78" s="37"/>
      <c r="D78" s="38"/>
      <c r="E78" s="39"/>
      <c r="F78" s="39"/>
      <c r="G78" s="40"/>
      <c r="H78" s="17"/>
      <c r="I78" s="132"/>
    </row>
    <row r="79" spans="1:9" s="10" customFormat="1" ht="15" customHeight="1">
      <c r="A79" s="130">
        <v>74</v>
      </c>
      <c r="B79" s="45"/>
      <c r="C79" s="37"/>
      <c r="D79" s="38"/>
      <c r="E79" s="39"/>
      <c r="F79" s="39"/>
      <c r="G79" s="40"/>
      <c r="H79" s="17"/>
      <c r="I79" s="132"/>
    </row>
    <row r="80" spans="1:9" s="10" customFormat="1" ht="15" customHeight="1">
      <c r="A80" s="130">
        <v>75</v>
      </c>
      <c r="B80" s="45"/>
      <c r="C80" s="37"/>
      <c r="D80" s="38"/>
      <c r="E80" s="39"/>
      <c r="F80" s="39"/>
      <c r="G80" s="40"/>
      <c r="H80" s="17"/>
      <c r="I80" s="132"/>
    </row>
    <row r="81" spans="1:9" s="10" customFormat="1" ht="15" customHeight="1">
      <c r="A81" s="130">
        <v>76</v>
      </c>
      <c r="B81" s="45"/>
      <c r="C81" s="37"/>
      <c r="D81" s="38"/>
      <c r="E81" s="39"/>
      <c r="F81" s="39"/>
      <c r="G81" s="40"/>
      <c r="H81" s="17"/>
      <c r="I81" s="132"/>
    </row>
    <row r="82" spans="1:9" s="10" customFormat="1" ht="15" customHeight="1">
      <c r="A82" s="130">
        <v>77</v>
      </c>
      <c r="B82" s="45"/>
      <c r="C82" s="37"/>
      <c r="D82" s="38"/>
      <c r="E82" s="39"/>
      <c r="F82" s="39"/>
      <c r="G82" s="40"/>
      <c r="H82" s="17"/>
      <c r="I82" s="132"/>
    </row>
    <row r="83" spans="1:9" s="10" customFormat="1" ht="15" customHeight="1">
      <c r="A83" s="130">
        <v>78</v>
      </c>
      <c r="B83" s="45"/>
      <c r="C83" s="37"/>
      <c r="D83" s="38"/>
      <c r="E83" s="39"/>
      <c r="F83" s="39"/>
      <c r="G83" s="40"/>
      <c r="H83" s="17"/>
      <c r="I83" s="132"/>
    </row>
    <row r="84" spans="1:9" s="10" customFormat="1" ht="15" customHeight="1">
      <c r="A84" s="130">
        <v>79</v>
      </c>
      <c r="B84" s="45"/>
      <c r="C84" s="37"/>
      <c r="D84" s="38"/>
      <c r="E84" s="39"/>
      <c r="F84" s="39"/>
      <c r="G84" s="40"/>
      <c r="H84" s="17"/>
      <c r="I84" s="132"/>
    </row>
    <row r="85" spans="1:9" s="10" customFormat="1" ht="15" customHeight="1">
      <c r="A85" s="130">
        <v>80</v>
      </c>
      <c r="B85" s="45"/>
      <c r="C85" s="37"/>
      <c r="D85" s="39"/>
      <c r="E85" s="39"/>
      <c r="F85" s="39"/>
      <c r="G85" s="40"/>
      <c r="H85" s="17"/>
      <c r="I85" s="132"/>
    </row>
    <row r="86" spans="1:9" s="10" customFormat="1" ht="15" customHeight="1">
      <c r="A86" s="130">
        <v>81</v>
      </c>
      <c r="B86" s="45"/>
      <c r="C86" s="37"/>
      <c r="D86" s="39"/>
      <c r="E86" s="39"/>
      <c r="F86" s="39"/>
      <c r="G86" s="40"/>
      <c r="H86" s="17"/>
      <c r="I86" s="132"/>
    </row>
    <row r="87" spans="1:9" s="10" customFormat="1" ht="15" customHeight="1">
      <c r="A87" s="130">
        <v>82</v>
      </c>
      <c r="B87" s="45"/>
      <c r="C87" s="37"/>
      <c r="D87" s="39"/>
      <c r="E87" s="39"/>
      <c r="F87" s="39"/>
      <c r="G87" s="40"/>
      <c r="H87" s="17"/>
      <c r="I87" s="132"/>
    </row>
    <row r="88" spans="1:9" s="10" customFormat="1" ht="15" customHeight="1">
      <c r="A88" s="130">
        <v>83</v>
      </c>
      <c r="B88" s="45"/>
      <c r="C88" s="37"/>
      <c r="D88" s="39"/>
      <c r="E88" s="39"/>
      <c r="F88" s="39"/>
      <c r="G88" s="40"/>
      <c r="H88" s="17"/>
      <c r="I88" s="132"/>
    </row>
    <row r="89" spans="1:9" s="10" customFormat="1" ht="15" customHeight="1">
      <c r="A89" s="130">
        <v>84</v>
      </c>
      <c r="B89" s="45"/>
      <c r="C89" s="37"/>
      <c r="D89" s="39"/>
      <c r="E89" s="39"/>
      <c r="F89" s="39"/>
      <c r="G89" s="40"/>
      <c r="H89" s="17"/>
      <c r="I89" s="132"/>
    </row>
    <row r="90" spans="1:9" s="10" customFormat="1" ht="15" customHeight="1">
      <c r="A90" s="130">
        <v>85</v>
      </c>
      <c r="B90" s="45"/>
      <c r="C90" s="37"/>
      <c r="D90" s="39"/>
      <c r="E90" s="39"/>
      <c r="F90" s="39"/>
      <c r="G90" s="40"/>
      <c r="H90" s="17"/>
      <c r="I90" s="132"/>
    </row>
    <row r="91" spans="1:9" s="10" customFormat="1" ht="15" customHeight="1">
      <c r="A91" s="130">
        <v>86</v>
      </c>
      <c r="B91" s="45"/>
      <c r="C91" s="37"/>
      <c r="D91" s="39"/>
      <c r="E91" s="39"/>
      <c r="F91" s="39"/>
      <c r="G91" s="40"/>
      <c r="H91" s="17"/>
      <c r="I91" s="132"/>
    </row>
    <row r="92" spans="1:9" s="10" customFormat="1" ht="15" customHeight="1">
      <c r="A92" s="130">
        <v>87</v>
      </c>
      <c r="B92" s="45"/>
      <c r="C92" s="37"/>
      <c r="D92" s="39"/>
      <c r="E92" s="39"/>
      <c r="F92" s="39"/>
      <c r="G92" s="40"/>
      <c r="H92" s="17"/>
      <c r="I92" s="132"/>
    </row>
    <row r="93" spans="1:9" s="10" customFormat="1" ht="15" customHeight="1">
      <c r="A93" s="130">
        <v>88</v>
      </c>
      <c r="B93" s="45"/>
      <c r="C93" s="37"/>
      <c r="D93" s="39"/>
      <c r="E93" s="39"/>
      <c r="F93" s="39"/>
      <c r="G93" s="40"/>
      <c r="H93" s="17"/>
      <c r="I93" s="132"/>
    </row>
    <row r="94" spans="1:9" s="10" customFormat="1" ht="15" customHeight="1">
      <c r="A94" s="130">
        <v>89</v>
      </c>
      <c r="B94" s="45"/>
      <c r="C94" s="37"/>
      <c r="D94" s="39"/>
      <c r="E94" s="39"/>
      <c r="F94" s="39"/>
      <c r="G94" s="40"/>
      <c r="H94" s="17"/>
      <c r="I94" s="132"/>
    </row>
    <row r="95" spans="1:9" s="10" customFormat="1" ht="15" customHeight="1">
      <c r="A95" s="130">
        <v>90</v>
      </c>
      <c r="B95" s="45"/>
      <c r="C95" s="37"/>
      <c r="D95" s="39"/>
      <c r="E95" s="39"/>
      <c r="F95" s="39"/>
      <c r="G95" s="40"/>
      <c r="H95" s="17"/>
      <c r="I95" s="132"/>
    </row>
    <row r="96" spans="1:9" s="10" customFormat="1" ht="15" customHeight="1">
      <c r="A96" s="130">
        <v>91</v>
      </c>
      <c r="B96" s="45"/>
      <c r="C96" s="37"/>
      <c r="D96" s="39"/>
      <c r="E96" s="39"/>
      <c r="F96" s="39"/>
      <c r="G96" s="40"/>
      <c r="H96" s="17"/>
      <c r="I96" s="132"/>
    </row>
    <row r="97" spans="1:9" s="10" customFormat="1" ht="15" customHeight="1">
      <c r="A97" s="130">
        <v>92</v>
      </c>
      <c r="B97" s="45"/>
      <c r="C97" s="37"/>
      <c r="D97" s="39"/>
      <c r="E97" s="39"/>
      <c r="F97" s="39"/>
      <c r="G97" s="40"/>
      <c r="H97" s="17"/>
      <c r="I97" s="132"/>
    </row>
    <row r="98" spans="1:9" s="10" customFormat="1" ht="15" customHeight="1">
      <c r="A98" s="130">
        <v>93</v>
      </c>
      <c r="B98" s="45"/>
      <c r="C98" s="37"/>
      <c r="D98" s="39"/>
      <c r="E98" s="39"/>
      <c r="F98" s="39"/>
      <c r="G98" s="40"/>
      <c r="H98" s="17"/>
      <c r="I98" s="132"/>
    </row>
    <row r="99" spans="1:9" s="10" customFormat="1" ht="15" customHeight="1">
      <c r="A99" s="130">
        <v>94</v>
      </c>
      <c r="B99" s="45"/>
      <c r="C99" s="37"/>
      <c r="D99" s="39"/>
      <c r="E99" s="39"/>
      <c r="F99" s="39"/>
      <c r="G99" s="40"/>
      <c r="H99" s="17"/>
      <c r="I99" s="132"/>
    </row>
    <row r="100" spans="1:9" s="10" customFormat="1" ht="15" customHeight="1">
      <c r="A100" s="130">
        <v>95</v>
      </c>
      <c r="B100" s="45"/>
      <c r="C100" s="37"/>
      <c r="D100" s="39"/>
      <c r="E100" s="39"/>
      <c r="F100" s="39"/>
      <c r="G100" s="40"/>
      <c r="H100" s="17"/>
      <c r="I100" s="132"/>
    </row>
    <row r="101" spans="1:9" s="10" customFormat="1" ht="15" customHeight="1">
      <c r="A101" s="130">
        <v>96</v>
      </c>
      <c r="B101" s="32"/>
      <c r="C101" s="46"/>
      <c r="D101" s="17"/>
      <c r="E101" s="17"/>
      <c r="F101" s="17"/>
      <c r="G101" s="28"/>
      <c r="H101" s="17"/>
      <c r="I101" s="132"/>
    </row>
    <row r="102" spans="1:9" s="10" customFormat="1" ht="15" customHeight="1">
      <c r="A102" s="130">
        <v>97</v>
      </c>
      <c r="B102" s="32"/>
      <c r="C102" s="15"/>
      <c r="D102" s="17"/>
      <c r="E102" s="17"/>
      <c r="F102" s="17"/>
      <c r="G102" s="28"/>
      <c r="H102" s="17"/>
      <c r="I102" s="132"/>
    </row>
    <row r="103" spans="1:9" s="10" customFormat="1" ht="15" customHeight="1">
      <c r="A103" s="130">
        <v>98</v>
      </c>
      <c r="B103" s="32"/>
      <c r="C103" s="15"/>
      <c r="D103" s="17"/>
      <c r="E103" s="17"/>
      <c r="F103" s="17"/>
      <c r="G103" s="28"/>
      <c r="H103" s="17"/>
      <c r="I103" s="132"/>
    </row>
    <row r="104" spans="1:9" s="10" customFormat="1" ht="15" customHeight="1">
      <c r="A104" s="130">
        <v>99</v>
      </c>
      <c r="B104" s="32"/>
      <c r="C104" s="15"/>
      <c r="D104" s="17"/>
      <c r="E104" s="17"/>
      <c r="F104" s="17"/>
      <c r="G104" s="28"/>
      <c r="H104" s="17"/>
      <c r="I104" s="132"/>
    </row>
    <row r="105" spans="1:9" s="10" customFormat="1" ht="15" customHeight="1">
      <c r="A105" s="133">
        <v>100</v>
      </c>
      <c r="B105" s="134"/>
      <c r="C105" s="138"/>
      <c r="D105" s="135"/>
      <c r="E105" s="135"/>
      <c r="F105" s="135"/>
      <c r="G105" s="136"/>
      <c r="H105" s="135"/>
      <c r="I105" s="137"/>
    </row>
    <row r="106" spans="1:9" ht="20.25">
      <c r="B106" s="41"/>
      <c r="C106" s="42"/>
      <c r="D106" s="42"/>
      <c r="E106" s="42"/>
      <c r="F106" s="42"/>
      <c r="G106" s="42"/>
      <c r="H106" s="42"/>
      <c r="I106" s="42"/>
    </row>
  </sheetData>
  <autoFilter ref="B5:G105" xr:uid="{CE6C056B-1174-47E5-B58F-BD1F5280A530}"/>
  <mergeCells count="5">
    <mergeCell ref="A1:A5"/>
    <mergeCell ref="B1:I2"/>
    <mergeCell ref="H3:I3"/>
    <mergeCell ref="B3:B4"/>
    <mergeCell ref="C3:C4"/>
  </mergeCells>
  <dataValidations count="1">
    <dataValidation allowBlank="1" showErrorMessage="1" sqref="C5:D5" xr:uid="{C1A7E7F1-06B2-43B9-95F5-21F9D39584EB}"/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B31021E-0090-436C-B48B-45A8FADDBA7C}">
          <x14:formula1>
            <xm:f>DATA!$D$2:$D$17</xm:f>
          </x14:formula1>
          <xm:sqref>C6:C105</xm:sqref>
        </x14:dataValidation>
        <x14:dataValidation type="list" allowBlank="1" showInputMessage="1" showErrorMessage="1" xr:uid="{57623A1D-7A0F-431E-A419-EFBCF24E84ED}">
          <x14:formula1>
            <xm:f>DATA!$C$2:$C$6</xm:f>
          </x14:formula1>
          <xm:sqref>F23 G6:G105</xm:sqref>
        </x14:dataValidation>
        <x14:dataValidation type="list" allowBlank="1" showInputMessage="1" showErrorMessage="1" xr:uid="{FEE940F7-9DB7-46F2-BF36-6009769B2548}">
          <x14:formula1>
            <xm:f>DATA!$B$4:$B$10</xm:f>
          </x14:formula1>
          <xm:sqref>H4</xm:sqref>
        </x14:dataValidation>
        <x14:dataValidation type="list" allowBlank="1" showInputMessage="1" showErrorMessage="1" xr:uid="{055F8162-5BA7-44EC-9082-C9512E96B006}">
          <x14:formula1>
            <xm:f>DATA!$B$2:$B$20</xm:f>
          </x14:formula1>
          <xm:sqref>I6:I7 D6:D105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31B5F-E1D9-4A8B-B382-C964BE38EC72}">
  <sheetPr codeName="Planilha18"/>
  <dimension ref="A1:L106"/>
  <sheetViews>
    <sheetView zoomScale="90" zoomScaleNormal="90" workbookViewId="0">
      <selection activeCell="B1" sqref="B1:I2"/>
    </sheetView>
  </sheetViews>
  <sheetFormatPr defaultRowHeight="15"/>
  <cols>
    <col min="1" max="1" width="4.42578125" style="49" customWidth="1"/>
    <col min="2" max="2" width="40.7109375" style="43" customWidth="1"/>
    <col min="3" max="3" width="55.7109375" style="44" customWidth="1"/>
    <col min="4" max="4" width="30.7109375" style="44" customWidth="1"/>
    <col min="5" max="5" width="20.7109375" style="44" customWidth="1"/>
    <col min="6" max="6" width="30.7109375" style="44" customWidth="1"/>
    <col min="7" max="7" width="20.7109375" style="44" customWidth="1"/>
    <col min="8" max="8" width="34.7109375" style="44" customWidth="1"/>
    <col min="9" max="9" width="19.7109375" style="44" customWidth="1"/>
    <col min="10" max="10" width="10.5703125" style="10" bestFit="1" customWidth="1"/>
    <col min="11" max="12" width="9.140625" style="10"/>
    <col min="13" max="16384" width="9.140625" style="8"/>
  </cols>
  <sheetData>
    <row r="1" spans="1:10" ht="15" customHeight="1">
      <c r="A1" s="128" t="s">
        <v>58</v>
      </c>
      <c r="B1" s="123" t="s">
        <v>76</v>
      </c>
      <c r="C1" s="101"/>
      <c r="D1" s="101"/>
      <c r="E1" s="101"/>
      <c r="F1" s="101"/>
      <c r="G1" s="101"/>
      <c r="H1" s="101"/>
      <c r="I1" s="102"/>
      <c r="J1" s="9"/>
    </row>
    <row r="2" spans="1:10" ht="33.75" customHeight="1">
      <c r="A2" s="129"/>
      <c r="B2" s="93"/>
      <c r="C2" s="94"/>
      <c r="D2" s="94"/>
      <c r="E2" s="94"/>
      <c r="F2" s="94"/>
      <c r="G2" s="94"/>
      <c r="H2" s="94"/>
      <c r="I2" s="104"/>
      <c r="J2" s="9"/>
    </row>
    <row r="3" spans="1:10" ht="42.75" customHeight="1">
      <c r="A3" s="129"/>
      <c r="B3" s="96" t="s">
        <v>25</v>
      </c>
      <c r="C3" s="98">
        <f>E3-E4-(SUMIFS(E6:E105,G6:G105,"Reserva") + SUMIFS(E6:E105,G6:G105,"Investimento"))</f>
        <v>0</v>
      </c>
      <c r="D3" s="35" t="s">
        <v>36</v>
      </c>
      <c r="E3" s="65">
        <f>SUMIF(($G$6:$G$105),"Receita",($E$6:$E$105))</f>
        <v>0</v>
      </c>
      <c r="F3" s="67" t="s">
        <v>38</v>
      </c>
      <c r="G3" s="34">
        <f>SUMIF(($G$6:$G$105),"Custo",($E$6:$E$105))</f>
        <v>0</v>
      </c>
      <c r="H3" s="95" t="s">
        <v>56</v>
      </c>
      <c r="I3" s="106"/>
    </row>
    <row r="4" spans="1:10" ht="31.5" customHeight="1">
      <c r="A4" s="129"/>
      <c r="B4" s="97"/>
      <c r="C4" s="99"/>
      <c r="D4" s="35" t="s">
        <v>37</v>
      </c>
      <c r="E4" s="65">
        <f>G3+G4</f>
        <v>0</v>
      </c>
      <c r="F4" s="67" t="s">
        <v>39</v>
      </c>
      <c r="G4" s="34">
        <f>SUMIF(($G$6:$G$105),"Gasto",($E$6:$E$105))</f>
        <v>0</v>
      </c>
      <c r="H4" s="66" t="s">
        <v>0</v>
      </c>
      <c r="I4" s="108">
        <f>SUMIF(D6:D105,H4,E6:E105)</f>
        <v>0</v>
      </c>
    </row>
    <row r="5" spans="1:10" ht="23.25" customHeight="1">
      <c r="A5" s="129"/>
      <c r="B5" s="18" t="s">
        <v>20</v>
      </c>
      <c r="C5" s="13" t="s">
        <v>15</v>
      </c>
      <c r="D5" s="13" t="s">
        <v>16</v>
      </c>
      <c r="E5" s="13" t="s">
        <v>17</v>
      </c>
      <c r="F5" s="13" t="s">
        <v>18</v>
      </c>
      <c r="G5" s="13" t="s">
        <v>19</v>
      </c>
      <c r="H5" s="14"/>
      <c r="I5" s="110"/>
    </row>
    <row r="6" spans="1:10" s="10" customFormat="1" ht="20.100000000000001" customHeight="1">
      <c r="A6" s="130">
        <v>1</v>
      </c>
      <c r="B6" s="32"/>
      <c r="C6" s="17"/>
      <c r="D6" s="28"/>
      <c r="E6" s="24"/>
      <c r="F6" s="28"/>
      <c r="G6" s="28"/>
      <c r="H6" s="33"/>
      <c r="I6" s="112"/>
      <c r="J6" s="11"/>
    </row>
    <row r="7" spans="1:10" s="10" customFormat="1" ht="20.100000000000001" customHeight="1">
      <c r="A7" s="130">
        <v>2</v>
      </c>
      <c r="B7" s="48"/>
      <c r="C7" s="17"/>
      <c r="D7" s="29"/>
      <c r="E7" s="23"/>
      <c r="F7" s="26"/>
      <c r="G7" s="28"/>
      <c r="H7" s="33"/>
      <c r="I7" s="112"/>
      <c r="J7" s="12"/>
    </row>
    <row r="8" spans="1:10" s="10" customFormat="1" ht="20.100000000000001" customHeight="1">
      <c r="A8" s="130">
        <v>3</v>
      </c>
      <c r="B8" s="32"/>
      <c r="C8" s="17"/>
      <c r="D8" s="28"/>
      <c r="E8" s="24"/>
      <c r="F8" s="57"/>
      <c r="G8" s="28"/>
      <c r="H8" s="17"/>
      <c r="I8" s="131"/>
      <c r="J8" s="12"/>
    </row>
    <row r="9" spans="1:10" s="10" customFormat="1" ht="20.100000000000001" customHeight="1">
      <c r="A9" s="130">
        <v>4</v>
      </c>
      <c r="B9" s="32"/>
      <c r="C9" s="33"/>
      <c r="D9" s="28"/>
      <c r="E9" s="24"/>
      <c r="F9" s="28"/>
      <c r="G9" s="28"/>
      <c r="H9" s="17"/>
      <c r="I9" s="131"/>
      <c r="J9" s="12"/>
    </row>
    <row r="10" spans="1:10" s="10" customFormat="1" ht="20.100000000000001" customHeight="1">
      <c r="A10" s="130">
        <v>5</v>
      </c>
      <c r="B10" s="32"/>
      <c r="C10" s="17"/>
      <c r="D10" s="28"/>
      <c r="E10" s="24"/>
      <c r="F10" s="28"/>
      <c r="G10" s="28"/>
      <c r="H10" s="17"/>
      <c r="I10" s="131"/>
      <c r="J10" s="12"/>
    </row>
    <row r="11" spans="1:10" s="10" customFormat="1" ht="20.100000000000001" customHeight="1">
      <c r="A11" s="130">
        <v>6</v>
      </c>
      <c r="B11" s="32"/>
      <c r="C11" s="17"/>
      <c r="D11" s="28"/>
      <c r="E11" s="24"/>
      <c r="F11" s="28"/>
      <c r="G11" s="28"/>
      <c r="H11" s="17"/>
      <c r="I11" s="131"/>
      <c r="J11" s="12"/>
    </row>
    <row r="12" spans="1:10" s="10" customFormat="1" ht="20.100000000000001" customHeight="1">
      <c r="A12" s="130">
        <v>7</v>
      </c>
      <c r="B12" s="32"/>
      <c r="C12" s="17"/>
      <c r="D12" s="28"/>
      <c r="E12" s="24"/>
      <c r="F12" s="57"/>
      <c r="G12" s="30"/>
      <c r="H12" s="17"/>
      <c r="I12" s="131"/>
      <c r="J12" s="12"/>
    </row>
    <row r="13" spans="1:10" s="10" customFormat="1" ht="20.100000000000001" customHeight="1">
      <c r="A13" s="130">
        <v>8</v>
      </c>
      <c r="B13" s="32"/>
      <c r="C13" s="17"/>
      <c r="D13" s="28"/>
      <c r="E13" s="24"/>
      <c r="F13" s="57"/>
      <c r="G13" s="30"/>
      <c r="H13" s="17"/>
      <c r="I13" s="132"/>
    </row>
    <row r="14" spans="1:10" s="10" customFormat="1" ht="20.100000000000001" customHeight="1">
      <c r="A14" s="130">
        <v>9</v>
      </c>
      <c r="B14" s="48"/>
      <c r="C14" s="85"/>
      <c r="D14" s="29"/>
      <c r="E14" s="23"/>
      <c r="F14" s="26"/>
      <c r="G14" s="28"/>
      <c r="H14" s="17"/>
      <c r="I14" s="132"/>
    </row>
    <row r="15" spans="1:10" s="10" customFormat="1" ht="20.100000000000001" customHeight="1">
      <c r="A15" s="130">
        <v>10</v>
      </c>
      <c r="B15" s="48"/>
      <c r="C15" s="33"/>
      <c r="D15" s="29"/>
      <c r="E15" s="23"/>
      <c r="F15" s="26"/>
      <c r="G15" s="28"/>
      <c r="H15" s="17"/>
      <c r="I15" s="132"/>
    </row>
    <row r="16" spans="1:10" s="10" customFormat="1" ht="20.100000000000001" customHeight="1">
      <c r="A16" s="130">
        <v>11</v>
      </c>
      <c r="B16" s="47"/>
      <c r="C16" s="17"/>
      <c r="D16" s="29"/>
      <c r="E16" s="22"/>
      <c r="F16" s="25"/>
      <c r="G16" s="29"/>
      <c r="H16" s="17"/>
      <c r="I16" s="132"/>
    </row>
    <row r="17" spans="1:9" s="10" customFormat="1" ht="20.100000000000001" customHeight="1">
      <c r="A17" s="130">
        <v>12</v>
      </c>
      <c r="B17" s="32"/>
      <c r="C17" s="17"/>
      <c r="D17" s="29"/>
      <c r="E17" s="24"/>
      <c r="F17" s="27"/>
      <c r="G17" s="30"/>
      <c r="H17" s="17"/>
      <c r="I17" s="132"/>
    </row>
    <row r="18" spans="1:9" s="10" customFormat="1" ht="20.100000000000001" customHeight="1">
      <c r="A18" s="130">
        <v>13</v>
      </c>
      <c r="B18" s="48"/>
      <c r="C18" s="17"/>
      <c r="D18" s="29"/>
      <c r="E18" s="23"/>
      <c r="F18" s="26"/>
      <c r="G18" s="28"/>
      <c r="H18" s="17"/>
      <c r="I18" s="132"/>
    </row>
    <row r="19" spans="1:9" s="10" customFormat="1" ht="20.100000000000001" customHeight="1">
      <c r="A19" s="130">
        <v>14</v>
      </c>
      <c r="B19" s="32"/>
      <c r="C19" s="17"/>
      <c r="D19" s="28"/>
      <c r="E19" s="24"/>
      <c r="F19" s="57"/>
      <c r="G19" s="28"/>
      <c r="H19" s="36"/>
      <c r="I19" s="132"/>
    </row>
    <row r="20" spans="1:9" s="10" customFormat="1" ht="20.100000000000001" customHeight="1">
      <c r="A20" s="130">
        <v>15</v>
      </c>
      <c r="B20" s="32"/>
      <c r="C20" s="17"/>
      <c r="D20" s="28"/>
      <c r="E20" s="24"/>
      <c r="F20" s="27"/>
      <c r="G20" s="28"/>
      <c r="H20" s="17"/>
      <c r="I20" s="132"/>
    </row>
    <row r="21" spans="1:9" s="10" customFormat="1" ht="20.100000000000001" customHeight="1">
      <c r="A21" s="130">
        <v>16</v>
      </c>
      <c r="B21" s="32"/>
      <c r="C21" s="17"/>
      <c r="D21" s="31"/>
      <c r="E21" s="24"/>
      <c r="F21" s="28"/>
      <c r="G21" s="28"/>
      <c r="H21" s="17"/>
      <c r="I21" s="132"/>
    </row>
    <row r="22" spans="1:9" s="10" customFormat="1" ht="20.100000000000001" customHeight="1">
      <c r="A22" s="130">
        <v>17</v>
      </c>
      <c r="B22" s="32"/>
      <c r="C22" s="17"/>
      <c r="D22" s="28"/>
      <c r="E22" s="24"/>
      <c r="F22" s="28"/>
      <c r="G22" s="28"/>
      <c r="H22" s="17"/>
      <c r="I22" s="132"/>
    </row>
    <row r="23" spans="1:9" s="10" customFormat="1" ht="20.100000000000001" customHeight="1">
      <c r="A23" s="130">
        <v>18</v>
      </c>
      <c r="B23" s="48"/>
      <c r="C23" s="85"/>
      <c r="D23" s="31"/>
      <c r="E23" s="23"/>
      <c r="F23" s="26"/>
      <c r="G23" s="28"/>
      <c r="H23" s="17"/>
      <c r="I23" s="132"/>
    </row>
    <row r="24" spans="1:9" s="10" customFormat="1" ht="20.100000000000001" customHeight="1">
      <c r="A24" s="130">
        <v>19</v>
      </c>
      <c r="B24" s="32"/>
      <c r="C24" s="17"/>
      <c r="D24" s="28"/>
      <c r="E24" s="24"/>
      <c r="F24" s="28"/>
      <c r="G24" s="28"/>
      <c r="H24" s="17"/>
      <c r="I24" s="132"/>
    </row>
    <row r="25" spans="1:9" s="10" customFormat="1" ht="20.100000000000001" customHeight="1">
      <c r="A25" s="130">
        <v>20</v>
      </c>
      <c r="B25" s="32"/>
      <c r="C25" s="17"/>
      <c r="D25" s="28"/>
      <c r="E25" s="24"/>
      <c r="F25" s="28"/>
      <c r="G25" s="28"/>
      <c r="H25" s="17"/>
      <c r="I25" s="132"/>
    </row>
    <row r="26" spans="1:9" s="10" customFormat="1" ht="20.100000000000001" customHeight="1">
      <c r="A26" s="130">
        <v>21</v>
      </c>
      <c r="B26" s="32"/>
      <c r="C26" s="17"/>
      <c r="D26" s="28"/>
      <c r="E26" s="24"/>
      <c r="F26" s="28"/>
      <c r="G26" s="28"/>
      <c r="H26" s="17"/>
      <c r="I26" s="132"/>
    </row>
    <row r="27" spans="1:9" s="10" customFormat="1" ht="20.100000000000001" customHeight="1">
      <c r="A27" s="130">
        <v>22</v>
      </c>
      <c r="B27" s="32"/>
      <c r="C27" s="17"/>
      <c r="D27" s="28"/>
      <c r="E27" s="24"/>
      <c r="F27" s="28"/>
      <c r="G27" s="28"/>
      <c r="H27" s="17"/>
      <c r="I27" s="132"/>
    </row>
    <row r="28" spans="1:9" s="10" customFormat="1" ht="20.100000000000001" customHeight="1">
      <c r="A28" s="130">
        <v>23</v>
      </c>
      <c r="B28" s="32"/>
      <c r="C28" s="17"/>
      <c r="D28" s="28"/>
      <c r="E28" s="24"/>
      <c r="F28" s="28"/>
      <c r="G28" s="28"/>
      <c r="H28" s="17"/>
      <c r="I28" s="132"/>
    </row>
    <row r="29" spans="1:9" s="10" customFormat="1" ht="20.100000000000001" customHeight="1">
      <c r="A29" s="130">
        <v>24</v>
      </c>
      <c r="B29" s="32"/>
      <c r="C29" s="17"/>
      <c r="D29" s="28"/>
      <c r="E29" s="24"/>
      <c r="F29" s="28"/>
      <c r="G29" s="28"/>
      <c r="H29" s="17"/>
      <c r="I29" s="132"/>
    </row>
    <row r="30" spans="1:9" s="10" customFormat="1" ht="20.100000000000001" customHeight="1">
      <c r="A30" s="130">
        <v>25</v>
      </c>
      <c r="B30" s="32"/>
      <c r="C30" s="17"/>
      <c r="D30" s="31"/>
      <c r="E30" s="24"/>
      <c r="F30" s="28"/>
      <c r="G30" s="28"/>
      <c r="H30" s="17"/>
      <c r="I30" s="132"/>
    </row>
    <row r="31" spans="1:9" s="10" customFormat="1" ht="20.100000000000001" customHeight="1">
      <c r="A31" s="130">
        <v>26</v>
      </c>
      <c r="B31" s="32"/>
      <c r="C31" s="17"/>
      <c r="D31" s="28"/>
      <c r="E31" s="24"/>
      <c r="F31" s="28"/>
      <c r="G31" s="28"/>
      <c r="H31" s="17"/>
      <c r="I31" s="132"/>
    </row>
    <row r="32" spans="1:9" s="10" customFormat="1" ht="20.100000000000001" customHeight="1">
      <c r="A32" s="130">
        <v>27</v>
      </c>
      <c r="B32" s="32"/>
      <c r="C32" s="17"/>
      <c r="D32" s="28"/>
      <c r="E32" s="24"/>
      <c r="F32" s="28"/>
      <c r="G32" s="28"/>
      <c r="H32" s="17"/>
      <c r="I32" s="132"/>
    </row>
    <row r="33" spans="1:9" s="10" customFormat="1" ht="20.100000000000001" customHeight="1">
      <c r="A33" s="130">
        <v>28</v>
      </c>
      <c r="B33" s="32"/>
      <c r="C33" s="17"/>
      <c r="D33" s="28"/>
      <c r="E33" s="24"/>
      <c r="F33" s="27"/>
      <c r="G33" s="28"/>
      <c r="H33" s="17"/>
      <c r="I33" s="132"/>
    </row>
    <row r="34" spans="1:9" s="10" customFormat="1" ht="20.100000000000001" customHeight="1">
      <c r="A34" s="130">
        <v>29</v>
      </c>
      <c r="B34" s="32"/>
      <c r="C34" s="17"/>
      <c r="D34" s="28"/>
      <c r="E34" s="24"/>
      <c r="F34" s="27"/>
      <c r="G34" s="28"/>
      <c r="H34" s="17"/>
      <c r="I34" s="132"/>
    </row>
    <row r="35" spans="1:9" s="10" customFormat="1" ht="20.100000000000001" customHeight="1">
      <c r="A35" s="130">
        <v>30</v>
      </c>
      <c r="B35" s="32"/>
      <c r="C35" s="17"/>
      <c r="D35" s="28"/>
      <c r="E35" s="24"/>
      <c r="F35" s="27"/>
      <c r="G35" s="28"/>
      <c r="H35" s="17"/>
      <c r="I35" s="132"/>
    </row>
    <row r="36" spans="1:9" s="10" customFormat="1" ht="20.100000000000001" customHeight="1">
      <c r="A36" s="130">
        <v>31</v>
      </c>
      <c r="B36" s="32"/>
      <c r="C36" s="17"/>
      <c r="D36" s="28"/>
      <c r="E36" s="24"/>
      <c r="F36" s="27"/>
      <c r="G36" s="28"/>
      <c r="H36" s="17"/>
      <c r="I36" s="132"/>
    </row>
    <row r="37" spans="1:9" s="10" customFormat="1" ht="20.100000000000001" customHeight="1">
      <c r="A37" s="130">
        <v>32</v>
      </c>
      <c r="B37" s="32"/>
      <c r="C37" s="17"/>
      <c r="D37" s="17"/>
      <c r="E37" s="17"/>
      <c r="F37" s="17"/>
      <c r="G37" s="28"/>
      <c r="H37" s="17"/>
      <c r="I37" s="132"/>
    </row>
    <row r="38" spans="1:9" s="10" customFormat="1" ht="20.100000000000001" customHeight="1">
      <c r="A38" s="130">
        <v>33</v>
      </c>
      <c r="B38" s="32"/>
      <c r="C38" s="17"/>
      <c r="D38" s="17"/>
      <c r="E38" s="17"/>
      <c r="F38" s="17"/>
      <c r="G38" s="28"/>
      <c r="H38" s="17"/>
      <c r="I38" s="132"/>
    </row>
    <row r="39" spans="1:9" s="10" customFormat="1" ht="20.100000000000001" customHeight="1">
      <c r="A39" s="130">
        <v>34</v>
      </c>
      <c r="B39" s="32"/>
      <c r="C39" s="17"/>
      <c r="D39" s="17"/>
      <c r="E39" s="17"/>
      <c r="F39" s="17"/>
      <c r="G39" s="28"/>
      <c r="H39" s="17"/>
      <c r="I39" s="132"/>
    </row>
    <row r="40" spans="1:9" s="10" customFormat="1" ht="20.100000000000001" customHeight="1">
      <c r="A40" s="130">
        <v>35</v>
      </c>
      <c r="B40" s="32"/>
      <c r="C40" s="17"/>
      <c r="D40" s="17"/>
      <c r="E40" s="17"/>
      <c r="F40" s="17"/>
      <c r="G40" s="28"/>
      <c r="H40" s="17"/>
      <c r="I40" s="132"/>
    </row>
    <row r="41" spans="1:9" s="10" customFormat="1" ht="20.100000000000001" customHeight="1">
      <c r="A41" s="130">
        <v>36</v>
      </c>
      <c r="B41" s="32"/>
      <c r="C41" s="17"/>
      <c r="D41" s="17"/>
      <c r="E41" s="17"/>
      <c r="F41" s="17"/>
      <c r="G41" s="28"/>
      <c r="H41" s="17"/>
      <c r="I41" s="132"/>
    </row>
    <row r="42" spans="1:9" s="10" customFormat="1" ht="20.100000000000001" customHeight="1">
      <c r="A42" s="130">
        <v>37</v>
      </c>
      <c r="B42" s="32"/>
      <c r="C42" s="17"/>
      <c r="D42" s="17"/>
      <c r="E42" s="17"/>
      <c r="F42" s="36"/>
      <c r="G42" s="28"/>
      <c r="H42" s="17"/>
      <c r="I42" s="132"/>
    </row>
    <row r="43" spans="1:9" s="10" customFormat="1" ht="20.100000000000001" customHeight="1">
      <c r="A43" s="130">
        <v>38</v>
      </c>
      <c r="B43" s="45"/>
      <c r="C43" s="38"/>
      <c r="D43" s="38"/>
      <c r="E43" s="39"/>
      <c r="F43" s="39"/>
      <c r="G43" s="28"/>
      <c r="H43" s="17"/>
      <c r="I43" s="132"/>
    </row>
    <row r="44" spans="1:9" s="10" customFormat="1" ht="20.100000000000001" customHeight="1">
      <c r="A44" s="130">
        <v>39</v>
      </c>
      <c r="B44" s="45"/>
      <c r="C44" s="38"/>
      <c r="D44" s="38"/>
      <c r="E44" s="39"/>
      <c r="F44" s="39"/>
      <c r="G44" s="28"/>
      <c r="H44" s="17"/>
      <c r="I44" s="132"/>
    </row>
    <row r="45" spans="1:9" s="10" customFormat="1" ht="20.100000000000001" customHeight="1">
      <c r="A45" s="130">
        <v>40</v>
      </c>
      <c r="B45" s="45"/>
      <c r="C45" s="38"/>
      <c r="D45" s="38"/>
      <c r="E45" s="39"/>
      <c r="F45" s="39"/>
      <c r="G45" s="28"/>
      <c r="H45" s="17"/>
      <c r="I45" s="132"/>
    </row>
    <row r="46" spans="1:9" s="10" customFormat="1" ht="20.100000000000001" customHeight="1">
      <c r="A46" s="130">
        <v>41</v>
      </c>
      <c r="B46" s="45"/>
      <c r="C46" s="38"/>
      <c r="D46" s="38"/>
      <c r="E46" s="39"/>
      <c r="F46" s="39"/>
      <c r="G46" s="40"/>
      <c r="H46" s="17"/>
      <c r="I46" s="132"/>
    </row>
    <row r="47" spans="1:9" s="10" customFormat="1" ht="20.100000000000001" customHeight="1">
      <c r="A47" s="130">
        <v>42</v>
      </c>
      <c r="B47" s="45"/>
      <c r="C47" s="38"/>
      <c r="D47" s="38"/>
      <c r="E47" s="39"/>
      <c r="F47" s="39"/>
      <c r="G47" s="40"/>
      <c r="H47" s="17"/>
      <c r="I47" s="132"/>
    </row>
    <row r="48" spans="1:9" s="10" customFormat="1" ht="20.100000000000001" customHeight="1">
      <c r="A48" s="130">
        <v>43</v>
      </c>
      <c r="B48" s="45"/>
      <c r="C48" s="38"/>
      <c r="D48" s="38"/>
      <c r="E48" s="39"/>
      <c r="F48" s="39"/>
      <c r="G48" s="40"/>
      <c r="H48" s="17"/>
      <c r="I48" s="132"/>
    </row>
    <row r="49" spans="1:9" s="10" customFormat="1" ht="20.100000000000001" customHeight="1">
      <c r="A49" s="130">
        <v>44</v>
      </c>
      <c r="B49" s="45"/>
      <c r="C49" s="38"/>
      <c r="D49" s="38"/>
      <c r="E49" s="39"/>
      <c r="F49" s="39"/>
      <c r="G49" s="40"/>
      <c r="H49" s="17"/>
      <c r="I49" s="132"/>
    </row>
    <row r="50" spans="1:9" s="10" customFormat="1" ht="20.100000000000001" customHeight="1">
      <c r="A50" s="130">
        <v>45</v>
      </c>
      <c r="B50" s="45"/>
      <c r="C50" s="38"/>
      <c r="D50" s="38"/>
      <c r="E50" s="39"/>
      <c r="F50" s="39"/>
      <c r="G50" s="40"/>
      <c r="H50" s="17"/>
      <c r="I50" s="132"/>
    </row>
    <row r="51" spans="1:9" s="10" customFormat="1" ht="20.100000000000001" customHeight="1">
      <c r="A51" s="130">
        <v>46</v>
      </c>
      <c r="B51" s="45"/>
      <c r="C51" s="38"/>
      <c r="D51" s="38"/>
      <c r="E51" s="39"/>
      <c r="F51" s="39"/>
      <c r="G51" s="40"/>
      <c r="H51" s="17"/>
      <c r="I51" s="132"/>
    </row>
    <row r="52" spans="1:9" s="10" customFormat="1" ht="20.100000000000001" customHeight="1">
      <c r="A52" s="130">
        <v>47</v>
      </c>
      <c r="B52" s="45"/>
      <c r="C52" s="38"/>
      <c r="D52" s="38"/>
      <c r="E52" s="39"/>
      <c r="F52" s="39"/>
      <c r="G52" s="40"/>
      <c r="H52" s="17"/>
      <c r="I52" s="132"/>
    </row>
    <row r="53" spans="1:9" s="10" customFormat="1" ht="20.100000000000001" customHeight="1">
      <c r="A53" s="130">
        <v>48</v>
      </c>
      <c r="B53" s="45"/>
      <c r="C53" s="38"/>
      <c r="D53" s="38"/>
      <c r="E53" s="39"/>
      <c r="F53" s="39"/>
      <c r="G53" s="40"/>
      <c r="H53" s="17"/>
      <c r="I53" s="132"/>
    </row>
    <row r="54" spans="1:9" s="10" customFormat="1" ht="20.100000000000001" customHeight="1">
      <c r="A54" s="130">
        <v>49</v>
      </c>
      <c r="B54" s="45"/>
      <c r="C54" s="38"/>
      <c r="D54" s="38"/>
      <c r="E54" s="39"/>
      <c r="F54" s="39"/>
      <c r="G54" s="40"/>
      <c r="H54" s="17"/>
      <c r="I54" s="132"/>
    </row>
    <row r="55" spans="1:9" s="10" customFormat="1" ht="20.100000000000001" customHeight="1">
      <c r="A55" s="130">
        <v>50</v>
      </c>
      <c r="B55" s="45"/>
      <c r="C55" s="38"/>
      <c r="D55" s="38"/>
      <c r="E55" s="39"/>
      <c r="F55" s="39"/>
      <c r="G55" s="40"/>
      <c r="H55" s="17"/>
      <c r="I55" s="132"/>
    </row>
    <row r="56" spans="1:9" s="10" customFormat="1" ht="20.100000000000001" customHeight="1">
      <c r="A56" s="130">
        <v>51</v>
      </c>
      <c r="B56" s="45"/>
      <c r="C56" s="38"/>
      <c r="D56" s="38"/>
      <c r="E56" s="39"/>
      <c r="F56" s="39"/>
      <c r="G56" s="40"/>
      <c r="H56" s="17"/>
      <c r="I56" s="132"/>
    </row>
    <row r="57" spans="1:9" s="10" customFormat="1" ht="20.100000000000001" customHeight="1">
      <c r="A57" s="130">
        <v>52</v>
      </c>
      <c r="B57" s="45"/>
      <c r="C57" s="38"/>
      <c r="D57" s="38"/>
      <c r="E57" s="39"/>
      <c r="F57" s="39"/>
      <c r="G57" s="40"/>
      <c r="H57" s="17"/>
      <c r="I57" s="132"/>
    </row>
    <row r="58" spans="1:9" s="10" customFormat="1" ht="20.100000000000001" customHeight="1">
      <c r="A58" s="130">
        <v>53</v>
      </c>
      <c r="B58" s="45"/>
      <c r="C58" s="38"/>
      <c r="D58" s="38"/>
      <c r="E58" s="39"/>
      <c r="F58" s="39"/>
      <c r="G58" s="40"/>
      <c r="H58" s="17"/>
      <c r="I58" s="132"/>
    </row>
    <row r="59" spans="1:9" s="10" customFormat="1" ht="20.100000000000001" customHeight="1">
      <c r="A59" s="130">
        <v>54</v>
      </c>
      <c r="B59" s="45"/>
      <c r="C59" s="38"/>
      <c r="D59" s="38"/>
      <c r="E59" s="39"/>
      <c r="F59" s="39"/>
      <c r="G59" s="40"/>
      <c r="H59" s="17"/>
      <c r="I59" s="132"/>
    </row>
    <row r="60" spans="1:9" s="10" customFormat="1" ht="20.100000000000001" customHeight="1">
      <c r="A60" s="130">
        <v>55</v>
      </c>
      <c r="B60" s="45"/>
      <c r="C60" s="38"/>
      <c r="D60" s="38"/>
      <c r="E60" s="39"/>
      <c r="F60" s="39"/>
      <c r="G60" s="40"/>
      <c r="H60" s="17"/>
      <c r="I60" s="132"/>
    </row>
    <row r="61" spans="1:9" s="10" customFormat="1" ht="20.100000000000001" customHeight="1">
      <c r="A61" s="130">
        <v>56</v>
      </c>
      <c r="B61" s="32"/>
      <c r="C61" s="17"/>
      <c r="D61" s="17"/>
      <c r="E61" s="17"/>
      <c r="F61" s="17"/>
      <c r="G61" s="40"/>
      <c r="H61" s="17"/>
      <c r="I61" s="132"/>
    </row>
    <row r="62" spans="1:9" s="10" customFormat="1" ht="20.100000000000001" customHeight="1">
      <c r="A62" s="130">
        <v>57</v>
      </c>
      <c r="B62" s="32"/>
      <c r="C62" s="17"/>
      <c r="D62" s="17"/>
      <c r="E62" s="17"/>
      <c r="F62" s="17"/>
      <c r="G62" s="40"/>
      <c r="H62" s="17"/>
      <c r="I62" s="132"/>
    </row>
    <row r="63" spans="1:9" s="10" customFormat="1" ht="20.100000000000001" customHeight="1">
      <c r="A63" s="130">
        <v>58</v>
      </c>
      <c r="B63" s="32"/>
      <c r="C63" s="17"/>
      <c r="D63" s="17"/>
      <c r="E63" s="17"/>
      <c r="F63" s="17"/>
      <c r="G63" s="40"/>
      <c r="H63" s="17"/>
      <c r="I63" s="132"/>
    </row>
    <row r="64" spans="1:9" s="10" customFormat="1" ht="20.100000000000001" customHeight="1">
      <c r="A64" s="130">
        <v>59</v>
      </c>
      <c r="B64" s="45"/>
      <c r="C64" s="38"/>
      <c r="D64" s="38"/>
      <c r="E64" s="39"/>
      <c r="F64" s="39"/>
      <c r="G64" s="40"/>
      <c r="H64" s="17"/>
      <c r="I64" s="132"/>
    </row>
    <row r="65" spans="1:9" s="10" customFormat="1" ht="20.100000000000001" customHeight="1">
      <c r="A65" s="130">
        <v>60</v>
      </c>
      <c r="B65" s="45"/>
      <c r="C65" s="38"/>
      <c r="D65" s="38"/>
      <c r="E65" s="39"/>
      <c r="F65" s="39"/>
      <c r="G65" s="40"/>
      <c r="H65" s="17"/>
      <c r="I65" s="132"/>
    </row>
    <row r="66" spans="1:9" s="10" customFormat="1" ht="20.100000000000001" customHeight="1">
      <c r="A66" s="130">
        <v>61</v>
      </c>
      <c r="B66" s="45"/>
      <c r="C66" s="38"/>
      <c r="D66" s="38"/>
      <c r="E66" s="39"/>
      <c r="F66" s="39"/>
      <c r="G66" s="40"/>
      <c r="H66" s="17"/>
      <c r="I66" s="132"/>
    </row>
    <row r="67" spans="1:9" s="10" customFormat="1" ht="20.100000000000001" customHeight="1">
      <c r="A67" s="130">
        <v>62</v>
      </c>
      <c r="B67" s="45"/>
      <c r="C67" s="38"/>
      <c r="D67" s="38"/>
      <c r="E67" s="39"/>
      <c r="F67" s="39"/>
      <c r="G67" s="40"/>
      <c r="H67" s="17"/>
      <c r="I67" s="132"/>
    </row>
    <row r="68" spans="1:9" s="10" customFormat="1" ht="20.100000000000001" customHeight="1">
      <c r="A68" s="130">
        <v>63</v>
      </c>
      <c r="B68" s="45"/>
      <c r="C68" s="38"/>
      <c r="D68" s="38"/>
      <c r="E68" s="39"/>
      <c r="F68" s="39"/>
      <c r="G68" s="40"/>
      <c r="H68" s="17"/>
      <c r="I68" s="132"/>
    </row>
    <row r="69" spans="1:9" s="10" customFormat="1" ht="15" customHeight="1">
      <c r="A69" s="130">
        <v>64</v>
      </c>
      <c r="B69" s="45"/>
      <c r="C69" s="38"/>
      <c r="D69" s="38"/>
      <c r="E69" s="39"/>
      <c r="F69" s="39"/>
      <c r="G69" s="40"/>
      <c r="H69" s="17"/>
      <c r="I69" s="132"/>
    </row>
    <row r="70" spans="1:9" s="10" customFormat="1" ht="15" customHeight="1">
      <c r="A70" s="130">
        <v>65</v>
      </c>
      <c r="B70" s="45"/>
      <c r="C70" s="38"/>
      <c r="D70" s="38"/>
      <c r="E70" s="39"/>
      <c r="F70" s="39"/>
      <c r="G70" s="40"/>
      <c r="H70" s="17"/>
      <c r="I70" s="132"/>
    </row>
    <row r="71" spans="1:9" s="10" customFormat="1" ht="15" customHeight="1">
      <c r="A71" s="130">
        <v>66</v>
      </c>
      <c r="B71" s="45"/>
      <c r="C71" s="38"/>
      <c r="D71" s="38"/>
      <c r="E71" s="39"/>
      <c r="F71" s="39"/>
      <c r="G71" s="40"/>
      <c r="H71" s="17"/>
      <c r="I71" s="132"/>
    </row>
    <row r="72" spans="1:9" s="10" customFormat="1" ht="15" customHeight="1">
      <c r="A72" s="130">
        <v>67</v>
      </c>
      <c r="B72" s="45"/>
      <c r="C72" s="38"/>
      <c r="D72" s="38"/>
      <c r="E72" s="39"/>
      <c r="F72" s="39"/>
      <c r="G72" s="40"/>
      <c r="H72" s="17"/>
      <c r="I72" s="132"/>
    </row>
    <row r="73" spans="1:9" s="10" customFormat="1" ht="15" customHeight="1">
      <c r="A73" s="130">
        <v>68</v>
      </c>
      <c r="B73" s="45"/>
      <c r="C73" s="38"/>
      <c r="D73" s="38"/>
      <c r="E73" s="39"/>
      <c r="F73" s="39"/>
      <c r="G73" s="40"/>
      <c r="H73" s="17"/>
      <c r="I73" s="132"/>
    </row>
    <row r="74" spans="1:9" s="10" customFormat="1" ht="15" customHeight="1">
      <c r="A74" s="130">
        <v>69</v>
      </c>
      <c r="B74" s="45"/>
      <c r="C74" s="38"/>
      <c r="D74" s="38"/>
      <c r="E74" s="39"/>
      <c r="F74" s="39"/>
      <c r="G74" s="40"/>
      <c r="H74" s="17"/>
      <c r="I74" s="132"/>
    </row>
    <row r="75" spans="1:9" s="10" customFormat="1" ht="15" customHeight="1">
      <c r="A75" s="130">
        <v>70</v>
      </c>
      <c r="B75" s="45"/>
      <c r="C75" s="38"/>
      <c r="D75" s="38"/>
      <c r="E75" s="39"/>
      <c r="F75" s="39"/>
      <c r="G75" s="40"/>
      <c r="H75" s="17"/>
      <c r="I75" s="132"/>
    </row>
    <row r="76" spans="1:9" s="10" customFormat="1" ht="15" customHeight="1">
      <c r="A76" s="130">
        <v>71</v>
      </c>
      <c r="B76" s="45"/>
      <c r="C76" s="38"/>
      <c r="D76" s="38"/>
      <c r="E76" s="39"/>
      <c r="F76" s="39"/>
      <c r="G76" s="40"/>
      <c r="H76" s="17"/>
      <c r="I76" s="132"/>
    </row>
    <row r="77" spans="1:9" s="10" customFormat="1" ht="15" customHeight="1">
      <c r="A77" s="130">
        <v>72</v>
      </c>
      <c r="B77" s="45"/>
      <c r="C77" s="38"/>
      <c r="D77" s="38"/>
      <c r="E77" s="39"/>
      <c r="F77" s="39"/>
      <c r="G77" s="40"/>
      <c r="H77" s="17"/>
      <c r="I77" s="132"/>
    </row>
    <row r="78" spans="1:9" s="10" customFormat="1" ht="15" customHeight="1">
      <c r="A78" s="130">
        <v>73</v>
      </c>
      <c r="B78" s="45"/>
      <c r="C78" s="38"/>
      <c r="D78" s="38"/>
      <c r="E78" s="39"/>
      <c r="F78" s="39"/>
      <c r="G78" s="40"/>
      <c r="H78" s="17"/>
      <c r="I78" s="132"/>
    </row>
    <row r="79" spans="1:9" s="10" customFormat="1" ht="15" customHeight="1">
      <c r="A79" s="130">
        <v>74</v>
      </c>
      <c r="B79" s="45"/>
      <c r="C79" s="38"/>
      <c r="D79" s="38"/>
      <c r="E79" s="39"/>
      <c r="F79" s="39"/>
      <c r="G79" s="40"/>
      <c r="H79" s="17"/>
      <c r="I79" s="132"/>
    </row>
    <row r="80" spans="1:9" s="10" customFormat="1" ht="15" customHeight="1">
      <c r="A80" s="130">
        <v>75</v>
      </c>
      <c r="B80" s="45"/>
      <c r="C80" s="38"/>
      <c r="D80" s="38"/>
      <c r="E80" s="39"/>
      <c r="F80" s="39"/>
      <c r="G80" s="40"/>
      <c r="H80" s="17"/>
      <c r="I80" s="132"/>
    </row>
    <row r="81" spans="1:9" s="10" customFormat="1" ht="15" customHeight="1">
      <c r="A81" s="130">
        <v>76</v>
      </c>
      <c r="B81" s="45"/>
      <c r="C81" s="38"/>
      <c r="D81" s="38"/>
      <c r="E81" s="39"/>
      <c r="F81" s="39"/>
      <c r="G81" s="40"/>
      <c r="H81" s="17"/>
      <c r="I81" s="132"/>
    </row>
    <row r="82" spans="1:9" s="10" customFormat="1" ht="15" customHeight="1">
      <c r="A82" s="130">
        <v>77</v>
      </c>
      <c r="B82" s="45"/>
      <c r="C82" s="38"/>
      <c r="D82" s="38"/>
      <c r="E82" s="39"/>
      <c r="F82" s="39"/>
      <c r="G82" s="40"/>
      <c r="H82" s="17"/>
      <c r="I82" s="132"/>
    </row>
    <row r="83" spans="1:9" s="10" customFormat="1" ht="15" customHeight="1">
      <c r="A83" s="130">
        <v>78</v>
      </c>
      <c r="B83" s="45"/>
      <c r="C83" s="38"/>
      <c r="D83" s="38"/>
      <c r="E83" s="39"/>
      <c r="F83" s="39"/>
      <c r="G83" s="40"/>
      <c r="H83" s="17"/>
      <c r="I83" s="132"/>
    </row>
    <row r="84" spans="1:9" s="10" customFormat="1" ht="15" customHeight="1">
      <c r="A84" s="130">
        <v>79</v>
      </c>
      <c r="B84" s="45"/>
      <c r="C84" s="38"/>
      <c r="D84" s="38"/>
      <c r="E84" s="39"/>
      <c r="F84" s="39"/>
      <c r="G84" s="40"/>
      <c r="H84" s="17"/>
      <c r="I84" s="132"/>
    </row>
    <row r="85" spans="1:9" s="10" customFormat="1" ht="15" customHeight="1">
      <c r="A85" s="130">
        <v>80</v>
      </c>
      <c r="B85" s="45"/>
      <c r="C85" s="38"/>
      <c r="D85" s="39"/>
      <c r="E85" s="39"/>
      <c r="F85" s="39"/>
      <c r="G85" s="40"/>
      <c r="H85" s="17"/>
      <c r="I85" s="132"/>
    </row>
    <row r="86" spans="1:9" s="10" customFormat="1" ht="15" customHeight="1">
      <c r="A86" s="130">
        <v>81</v>
      </c>
      <c r="B86" s="45"/>
      <c r="C86" s="38"/>
      <c r="D86" s="39"/>
      <c r="E86" s="39"/>
      <c r="F86" s="39"/>
      <c r="G86" s="40"/>
      <c r="H86" s="17"/>
      <c r="I86" s="132"/>
    </row>
    <row r="87" spans="1:9" s="10" customFormat="1" ht="15" customHeight="1">
      <c r="A87" s="130">
        <v>82</v>
      </c>
      <c r="B87" s="45"/>
      <c r="C87" s="38"/>
      <c r="D87" s="39"/>
      <c r="E87" s="39"/>
      <c r="F87" s="39"/>
      <c r="G87" s="40"/>
      <c r="H87" s="17"/>
      <c r="I87" s="132"/>
    </row>
    <row r="88" spans="1:9" s="10" customFormat="1" ht="15" customHeight="1">
      <c r="A88" s="130">
        <v>83</v>
      </c>
      <c r="B88" s="45"/>
      <c r="C88" s="38"/>
      <c r="D88" s="39"/>
      <c r="E88" s="39"/>
      <c r="F88" s="39"/>
      <c r="G88" s="40"/>
      <c r="H88" s="17"/>
      <c r="I88" s="132"/>
    </row>
    <row r="89" spans="1:9" s="10" customFormat="1" ht="15" customHeight="1">
      <c r="A89" s="130">
        <v>84</v>
      </c>
      <c r="B89" s="45"/>
      <c r="C89" s="38"/>
      <c r="D89" s="39"/>
      <c r="E89" s="39"/>
      <c r="F89" s="39"/>
      <c r="G89" s="40"/>
      <c r="H89" s="17"/>
      <c r="I89" s="132"/>
    </row>
    <row r="90" spans="1:9" s="10" customFormat="1" ht="15" customHeight="1">
      <c r="A90" s="130">
        <v>85</v>
      </c>
      <c r="B90" s="45"/>
      <c r="C90" s="38"/>
      <c r="D90" s="39"/>
      <c r="E90" s="39"/>
      <c r="F90" s="39"/>
      <c r="G90" s="40"/>
      <c r="H90" s="17"/>
      <c r="I90" s="132"/>
    </row>
    <row r="91" spans="1:9" s="10" customFormat="1" ht="15" customHeight="1">
      <c r="A91" s="130">
        <v>86</v>
      </c>
      <c r="B91" s="45"/>
      <c r="C91" s="38"/>
      <c r="D91" s="39"/>
      <c r="E91" s="39"/>
      <c r="F91" s="39"/>
      <c r="G91" s="40"/>
      <c r="H91" s="17"/>
      <c r="I91" s="132"/>
    </row>
    <row r="92" spans="1:9" s="10" customFormat="1" ht="15" customHeight="1">
      <c r="A92" s="130">
        <v>87</v>
      </c>
      <c r="B92" s="45"/>
      <c r="C92" s="38"/>
      <c r="D92" s="39"/>
      <c r="E92" s="39"/>
      <c r="F92" s="39"/>
      <c r="G92" s="40"/>
      <c r="H92" s="17"/>
      <c r="I92" s="132"/>
    </row>
    <row r="93" spans="1:9" s="10" customFormat="1" ht="15" customHeight="1">
      <c r="A93" s="130">
        <v>88</v>
      </c>
      <c r="B93" s="45"/>
      <c r="C93" s="38"/>
      <c r="D93" s="39"/>
      <c r="E93" s="39"/>
      <c r="F93" s="39"/>
      <c r="G93" s="40"/>
      <c r="H93" s="17"/>
      <c r="I93" s="132"/>
    </row>
    <row r="94" spans="1:9" s="10" customFormat="1" ht="15" customHeight="1">
      <c r="A94" s="130">
        <v>89</v>
      </c>
      <c r="B94" s="45"/>
      <c r="C94" s="38"/>
      <c r="D94" s="39"/>
      <c r="E94" s="39"/>
      <c r="F94" s="39"/>
      <c r="G94" s="40"/>
      <c r="H94" s="17"/>
      <c r="I94" s="132"/>
    </row>
    <row r="95" spans="1:9" s="10" customFormat="1" ht="15" customHeight="1">
      <c r="A95" s="130">
        <v>90</v>
      </c>
      <c r="B95" s="45"/>
      <c r="C95" s="38"/>
      <c r="D95" s="39"/>
      <c r="E95" s="39"/>
      <c r="F95" s="39"/>
      <c r="G95" s="40"/>
      <c r="H95" s="17"/>
      <c r="I95" s="132"/>
    </row>
    <row r="96" spans="1:9" s="10" customFormat="1" ht="15" customHeight="1">
      <c r="A96" s="130">
        <v>91</v>
      </c>
      <c r="B96" s="45"/>
      <c r="C96" s="38"/>
      <c r="D96" s="39"/>
      <c r="E96" s="39"/>
      <c r="F96" s="39"/>
      <c r="G96" s="40"/>
      <c r="H96" s="17"/>
      <c r="I96" s="132"/>
    </row>
    <row r="97" spans="1:9" s="10" customFormat="1" ht="15" customHeight="1">
      <c r="A97" s="130">
        <v>92</v>
      </c>
      <c r="B97" s="45"/>
      <c r="C97" s="38"/>
      <c r="D97" s="39"/>
      <c r="E97" s="39"/>
      <c r="F97" s="39"/>
      <c r="G97" s="40"/>
      <c r="H97" s="17"/>
      <c r="I97" s="132"/>
    </row>
    <row r="98" spans="1:9" s="10" customFormat="1" ht="15" customHeight="1">
      <c r="A98" s="130">
        <v>93</v>
      </c>
      <c r="B98" s="45"/>
      <c r="C98" s="38"/>
      <c r="D98" s="39"/>
      <c r="E98" s="39"/>
      <c r="F98" s="39"/>
      <c r="G98" s="40"/>
      <c r="H98" s="17"/>
      <c r="I98" s="132"/>
    </row>
    <row r="99" spans="1:9" s="10" customFormat="1" ht="15" customHeight="1">
      <c r="A99" s="130">
        <v>94</v>
      </c>
      <c r="B99" s="45"/>
      <c r="C99" s="38"/>
      <c r="D99" s="39"/>
      <c r="E99" s="39"/>
      <c r="F99" s="39"/>
      <c r="G99" s="40"/>
      <c r="H99" s="17"/>
      <c r="I99" s="132"/>
    </row>
    <row r="100" spans="1:9" s="10" customFormat="1" ht="15" customHeight="1">
      <c r="A100" s="130">
        <v>95</v>
      </c>
      <c r="B100" s="45"/>
      <c r="C100" s="38"/>
      <c r="D100" s="39"/>
      <c r="E100" s="39"/>
      <c r="F100" s="39"/>
      <c r="G100" s="40"/>
      <c r="H100" s="17"/>
      <c r="I100" s="132"/>
    </row>
    <row r="101" spans="1:9" s="10" customFormat="1" ht="15" customHeight="1">
      <c r="A101" s="130">
        <v>96</v>
      </c>
      <c r="B101" s="32"/>
      <c r="C101" s="86"/>
      <c r="D101" s="17"/>
      <c r="E101" s="17"/>
      <c r="F101" s="17"/>
      <c r="G101" s="28"/>
      <c r="H101" s="17"/>
      <c r="I101" s="132"/>
    </row>
    <row r="102" spans="1:9" s="10" customFormat="1" ht="15" customHeight="1">
      <c r="A102" s="130">
        <v>97</v>
      </c>
      <c r="B102" s="32"/>
      <c r="C102" s="17"/>
      <c r="D102" s="17"/>
      <c r="E102" s="17"/>
      <c r="F102" s="17"/>
      <c r="G102" s="28"/>
      <c r="H102" s="17"/>
      <c r="I102" s="132"/>
    </row>
    <row r="103" spans="1:9" s="10" customFormat="1" ht="15" customHeight="1">
      <c r="A103" s="130">
        <v>98</v>
      </c>
      <c r="B103" s="32"/>
      <c r="C103" s="17"/>
      <c r="D103" s="17"/>
      <c r="E103" s="17"/>
      <c r="F103" s="17"/>
      <c r="G103" s="28"/>
      <c r="H103" s="17"/>
      <c r="I103" s="132"/>
    </row>
    <row r="104" spans="1:9" s="10" customFormat="1" ht="15" customHeight="1">
      <c r="A104" s="130">
        <v>99</v>
      </c>
      <c r="B104" s="32"/>
      <c r="C104" s="17"/>
      <c r="D104" s="17"/>
      <c r="E104" s="17"/>
      <c r="F104" s="17"/>
      <c r="G104" s="28"/>
      <c r="H104" s="17"/>
      <c r="I104" s="132"/>
    </row>
    <row r="105" spans="1:9" s="10" customFormat="1" ht="15" customHeight="1">
      <c r="A105" s="133">
        <v>100</v>
      </c>
      <c r="B105" s="134"/>
      <c r="C105" s="135"/>
      <c r="D105" s="135"/>
      <c r="E105" s="135"/>
      <c r="F105" s="135"/>
      <c r="G105" s="136"/>
      <c r="H105" s="135"/>
      <c r="I105" s="137"/>
    </row>
    <row r="106" spans="1:9" ht="20.25">
      <c r="B106" s="41"/>
      <c r="C106" s="42"/>
      <c r="D106" s="42"/>
      <c r="E106" s="42"/>
      <c r="F106" s="42"/>
      <c r="G106" s="42"/>
      <c r="H106" s="42"/>
      <c r="I106" s="42"/>
    </row>
  </sheetData>
  <autoFilter ref="B5:G105" xr:uid="{CE6C056B-1174-47E5-B58F-BD1F5280A530}"/>
  <mergeCells count="5">
    <mergeCell ref="A1:A5"/>
    <mergeCell ref="B1:I2"/>
    <mergeCell ref="H3:I3"/>
    <mergeCell ref="B3:B4"/>
    <mergeCell ref="C3:C4"/>
  </mergeCells>
  <dataValidations count="1">
    <dataValidation allowBlank="1" showErrorMessage="1" sqref="C5:D5" xr:uid="{1864CDD7-E50B-4D40-96AF-3CE23489FCFD}"/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5D9F623-DAAF-4477-BEBD-1A5D82504EAE}">
          <x14:formula1>
            <xm:f>DATA!$B$4:$B$10</xm:f>
          </x14:formula1>
          <xm:sqref>H4</xm:sqref>
        </x14:dataValidation>
        <x14:dataValidation type="list" allowBlank="1" showInputMessage="1" showErrorMessage="1" xr:uid="{00EB88F7-6C9B-4F51-BCF6-7055EF851D17}">
          <x14:formula1>
            <xm:f>DATA!$C$2:$C$6</xm:f>
          </x14:formula1>
          <xm:sqref>F23 G6:G105</xm:sqref>
        </x14:dataValidation>
        <x14:dataValidation type="list" allowBlank="1" showErrorMessage="1" xr:uid="{F2B3B134-1A00-45C0-8B72-026B7CA69339}">
          <x14:formula1>
            <xm:f>DATA!$D$2:$D$17</xm:f>
          </x14:formula1>
          <xm:sqref>C6:C105</xm:sqref>
        </x14:dataValidation>
        <x14:dataValidation type="list" allowBlank="1" showInputMessage="1" showErrorMessage="1" xr:uid="{F3372E39-B903-4950-BA85-6F92E0CBE5B8}">
          <x14:formula1>
            <xm:f>DATA!$B$2:$B$20</xm:f>
          </x14:formula1>
          <xm:sqref>I6:I7 D6:D105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D367A-11F9-4A41-A9BA-DF9898F0D40E}">
  <sheetPr codeName="Planilha2"/>
  <dimension ref="A1:E36"/>
  <sheetViews>
    <sheetView workbookViewId="0">
      <selection activeCell="D5" sqref="D5"/>
    </sheetView>
  </sheetViews>
  <sheetFormatPr defaultRowHeight="15"/>
  <cols>
    <col min="1" max="1" width="3.42578125" customWidth="1"/>
    <col min="2" max="2" width="24.28515625" style="6" customWidth="1"/>
    <col min="3" max="3" width="20.5703125" customWidth="1"/>
    <col min="4" max="4" width="49.85546875" customWidth="1"/>
    <col min="5" max="5" width="11.28515625" customWidth="1"/>
  </cols>
  <sheetData>
    <row r="1" spans="1:5" ht="18.75">
      <c r="B1" s="2" t="s">
        <v>13</v>
      </c>
      <c r="C1" s="68" t="s">
        <v>14</v>
      </c>
      <c r="D1" s="2" t="s">
        <v>15</v>
      </c>
      <c r="E1" s="2" t="s">
        <v>23</v>
      </c>
    </row>
    <row r="2" spans="1:5">
      <c r="A2" s="1">
        <v>1</v>
      </c>
      <c r="B2" s="3" t="s">
        <v>21</v>
      </c>
      <c r="C2" s="69" t="s">
        <v>5</v>
      </c>
      <c r="D2" s="3" t="s">
        <v>35</v>
      </c>
      <c r="E2" s="6" t="s">
        <v>24</v>
      </c>
    </row>
    <row r="3" spans="1:5">
      <c r="A3" s="1">
        <v>2</v>
      </c>
      <c r="B3" s="3" t="s">
        <v>22</v>
      </c>
      <c r="C3" s="69" t="s">
        <v>3</v>
      </c>
      <c r="D3" s="3" t="s">
        <v>6</v>
      </c>
      <c r="E3" s="6">
        <v>2</v>
      </c>
    </row>
    <row r="4" spans="1:5">
      <c r="A4" s="1">
        <v>3</v>
      </c>
      <c r="B4" s="3" t="s">
        <v>47</v>
      </c>
      <c r="C4" s="69" t="s">
        <v>73</v>
      </c>
      <c r="D4" s="3" t="s">
        <v>30</v>
      </c>
      <c r="E4" s="6">
        <v>3</v>
      </c>
    </row>
    <row r="5" spans="1:5">
      <c r="A5" s="1">
        <v>4</v>
      </c>
      <c r="B5" s="3" t="s">
        <v>55</v>
      </c>
      <c r="C5" s="69" t="s">
        <v>1</v>
      </c>
      <c r="D5" s="3" t="s">
        <v>75</v>
      </c>
      <c r="E5" s="6">
        <v>4</v>
      </c>
    </row>
    <row r="6" spans="1:5">
      <c r="A6" s="1">
        <v>5</v>
      </c>
      <c r="B6" s="4" t="s">
        <v>44</v>
      </c>
      <c r="C6" s="70" t="s">
        <v>74</v>
      </c>
      <c r="D6" s="6" t="s">
        <v>72</v>
      </c>
      <c r="E6" s="6">
        <v>5</v>
      </c>
    </row>
    <row r="7" spans="1:5">
      <c r="A7" s="1">
        <v>6</v>
      </c>
      <c r="B7" s="4" t="s">
        <v>48</v>
      </c>
      <c r="C7" s="70"/>
      <c r="D7" s="4" t="s">
        <v>27</v>
      </c>
      <c r="E7" s="6">
        <v>6</v>
      </c>
    </row>
    <row r="8" spans="1:5">
      <c r="A8" s="1">
        <v>7</v>
      </c>
      <c r="B8" s="4" t="s">
        <v>0</v>
      </c>
      <c r="C8" s="69"/>
      <c r="D8" s="3" t="s">
        <v>29</v>
      </c>
      <c r="E8" s="6">
        <v>7</v>
      </c>
    </row>
    <row r="9" spans="1:5">
      <c r="A9" s="1">
        <v>8</v>
      </c>
      <c r="B9" s="3" t="s">
        <v>2</v>
      </c>
      <c r="C9" s="70"/>
      <c r="D9" s="3" t="s">
        <v>26</v>
      </c>
      <c r="E9" s="6">
        <v>16</v>
      </c>
    </row>
    <row r="10" spans="1:5">
      <c r="A10" s="1">
        <v>9</v>
      </c>
      <c r="B10" s="3" t="s">
        <v>40</v>
      </c>
      <c r="C10" s="70"/>
      <c r="D10" s="3" t="s">
        <v>31</v>
      </c>
      <c r="E10" s="6">
        <v>8</v>
      </c>
    </row>
    <row r="11" spans="1:5">
      <c r="A11" s="1">
        <v>10</v>
      </c>
      <c r="B11" s="3" t="s">
        <v>42</v>
      </c>
      <c r="C11" s="70"/>
      <c r="D11" s="4" t="s">
        <v>34</v>
      </c>
      <c r="E11" s="6">
        <v>9</v>
      </c>
    </row>
    <row r="12" spans="1:5">
      <c r="A12" s="1">
        <v>11</v>
      </c>
      <c r="B12" s="3" t="s">
        <v>43</v>
      </c>
      <c r="C12" s="70"/>
      <c r="D12" s="6" t="s">
        <v>57</v>
      </c>
      <c r="E12" s="6">
        <v>15</v>
      </c>
    </row>
    <row r="13" spans="1:5">
      <c r="A13" s="1">
        <v>12</v>
      </c>
      <c r="B13" s="4" t="s">
        <v>46</v>
      </c>
      <c r="C13" s="70"/>
      <c r="D13" s="3" t="s">
        <v>11</v>
      </c>
      <c r="E13" s="6">
        <v>10</v>
      </c>
    </row>
    <row r="14" spans="1:5">
      <c r="A14" s="1">
        <v>13</v>
      </c>
      <c r="B14" s="3" t="s">
        <v>4</v>
      </c>
      <c r="C14" s="70"/>
      <c r="D14" s="3" t="s">
        <v>28</v>
      </c>
      <c r="E14" s="6">
        <v>11</v>
      </c>
    </row>
    <row r="15" spans="1:5">
      <c r="A15" s="1">
        <v>14</v>
      </c>
      <c r="B15" s="3" t="s">
        <v>7</v>
      </c>
      <c r="C15" s="70"/>
      <c r="D15" s="3" t="s">
        <v>12</v>
      </c>
      <c r="E15" s="6">
        <v>12</v>
      </c>
    </row>
    <row r="16" spans="1:5">
      <c r="A16" s="1">
        <v>15</v>
      </c>
      <c r="B16" s="3" t="s">
        <v>41</v>
      </c>
      <c r="C16" s="70"/>
      <c r="D16" s="3" t="s">
        <v>32</v>
      </c>
      <c r="E16" s="6">
        <v>13</v>
      </c>
    </row>
    <row r="17" spans="1:5">
      <c r="A17" s="1">
        <v>16</v>
      </c>
      <c r="B17" s="4" t="s">
        <v>45</v>
      </c>
      <c r="C17" s="70"/>
      <c r="D17" s="3" t="s">
        <v>33</v>
      </c>
      <c r="E17" s="6">
        <v>14</v>
      </c>
    </row>
    <row r="18" spans="1:5">
      <c r="A18" s="1">
        <v>17</v>
      </c>
      <c r="B18" s="3" t="s">
        <v>8</v>
      </c>
      <c r="C18" s="70"/>
      <c r="D18" s="3"/>
      <c r="E18" s="6">
        <v>17</v>
      </c>
    </row>
    <row r="19" spans="1:5">
      <c r="A19" s="1">
        <v>18</v>
      </c>
      <c r="B19" s="4" t="s">
        <v>9</v>
      </c>
      <c r="C19" s="70"/>
      <c r="D19" s="3"/>
      <c r="E19" s="6">
        <v>18</v>
      </c>
    </row>
    <row r="20" spans="1:5">
      <c r="A20" s="1">
        <v>19</v>
      </c>
      <c r="B20" s="3" t="s">
        <v>10</v>
      </c>
      <c r="C20" s="70"/>
      <c r="D20" s="4"/>
      <c r="E20" s="6">
        <v>19</v>
      </c>
    </row>
    <row r="21" spans="1:5">
      <c r="A21" s="1">
        <v>20</v>
      </c>
      <c r="B21" s="4" t="s">
        <v>49</v>
      </c>
      <c r="C21" s="70"/>
      <c r="D21" s="4"/>
      <c r="E21" s="6">
        <v>20</v>
      </c>
    </row>
    <row r="22" spans="1:5">
      <c r="A22" s="1">
        <v>21</v>
      </c>
      <c r="C22" s="70"/>
      <c r="D22" s="3"/>
      <c r="E22" s="6">
        <v>21</v>
      </c>
    </row>
    <row r="23" spans="1:5">
      <c r="A23" s="1">
        <v>22</v>
      </c>
      <c r="C23" s="70"/>
      <c r="D23" s="3"/>
      <c r="E23" s="6">
        <v>22</v>
      </c>
    </row>
    <row r="24" spans="1:5">
      <c r="A24" s="1">
        <v>23</v>
      </c>
      <c r="B24" s="3"/>
      <c r="C24" s="70"/>
      <c r="D24" s="3"/>
      <c r="E24" s="6">
        <v>23</v>
      </c>
    </row>
    <row r="25" spans="1:5">
      <c r="A25" s="1">
        <v>24</v>
      </c>
      <c r="B25" s="3"/>
      <c r="C25" s="70"/>
      <c r="D25" s="3"/>
      <c r="E25" s="6">
        <v>24</v>
      </c>
    </row>
    <row r="26" spans="1:5">
      <c r="A26" s="1">
        <v>25</v>
      </c>
      <c r="B26" s="3"/>
      <c r="C26" s="70"/>
      <c r="D26" s="3"/>
      <c r="E26" s="6"/>
    </row>
    <row r="27" spans="1:5">
      <c r="A27" s="1">
        <v>26</v>
      </c>
      <c r="B27" s="3"/>
      <c r="C27" s="70"/>
      <c r="D27" s="3"/>
      <c r="E27" s="6"/>
    </row>
    <row r="28" spans="1:5">
      <c r="A28" s="1">
        <v>27</v>
      </c>
      <c r="B28" s="3"/>
      <c r="C28" s="70"/>
      <c r="D28" s="3"/>
      <c r="E28" s="6"/>
    </row>
    <row r="29" spans="1:5">
      <c r="A29" s="1">
        <v>28</v>
      </c>
      <c r="B29" s="3"/>
      <c r="C29" s="70"/>
      <c r="D29" s="3"/>
      <c r="E29" s="6"/>
    </row>
    <row r="30" spans="1:5">
      <c r="A30" s="1">
        <v>29</v>
      </c>
      <c r="B30" s="3"/>
      <c r="C30" s="70"/>
      <c r="D30" s="3"/>
      <c r="E30" s="6"/>
    </row>
    <row r="31" spans="1:5">
      <c r="A31" s="1">
        <v>30</v>
      </c>
      <c r="B31" s="3"/>
      <c r="C31" s="70"/>
      <c r="D31" s="3"/>
      <c r="E31" s="6"/>
    </row>
    <row r="32" spans="1:5">
      <c r="A32" s="1">
        <v>31</v>
      </c>
      <c r="B32" s="3"/>
      <c r="C32" s="70"/>
      <c r="D32" s="3"/>
      <c r="E32" s="6"/>
    </row>
    <row r="33" spans="1:5">
      <c r="A33" s="1">
        <v>32</v>
      </c>
      <c r="B33" s="3"/>
      <c r="C33" s="70"/>
      <c r="D33" s="3"/>
      <c r="E33" s="6"/>
    </row>
    <row r="34" spans="1:5">
      <c r="A34" s="1">
        <v>33</v>
      </c>
      <c r="B34" s="3"/>
      <c r="C34" s="70"/>
      <c r="D34" s="3"/>
      <c r="E34" s="6"/>
    </row>
    <row r="35" spans="1:5">
      <c r="A35" s="1">
        <v>34</v>
      </c>
      <c r="B35" s="3"/>
      <c r="C35" s="70"/>
      <c r="D35" s="3"/>
      <c r="E35" s="6"/>
    </row>
    <row r="36" spans="1:5">
      <c r="A36" s="1">
        <v>35</v>
      </c>
      <c r="B36" s="5"/>
      <c r="C36" s="71"/>
      <c r="D36" s="5"/>
      <c r="E36" s="7"/>
    </row>
  </sheetData>
  <sheetProtection selectLockedCells="1" selectUnlockedCells="1"/>
  <autoFilter ref="B1:E1" xr:uid="{49AD367A-11F9-4A41-A9BA-DF9898F0D40E}">
    <sortState xmlns:xlrd2="http://schemas.microsoft.com/office/spreadsheetml/2017/richdata2" ref="B2:E36">
      <sortCondition ref="D1"/>
    </sortState>
  </autoFilter>
  <sortState xmlns:xlrd2="http://schemas.microsoft.com/office/spreadsheetml/2017/richdata2" ref="B2:B21">
    <sortCondition ref="B2:B21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Insercao_Dado</vt:lpstr>
      <vt:lpstr>DashBoard</vt:lpstr>
      <vt:lpstr>jan</vt:lpstr>
      <vt:lpstr>fev</vt:lpstr>
      <vt:lpstr>mar</vt:lpstr>
      <vt:lpstr>abr</vt:lpstr>
      <vt:lpstr>mai</vt:lpstr>
      <vt:lpstr>jun</vt:lpstr>
      <vt:lpstr>ago</vt:lpstr>
      <vt:lpstr>jul</vt:lpstr>
      <vt:lpstr>set</vt:lpstr>
      <vt:lpstr>out</vt:lpstr>
      <vt:lpstr>nov</vt:lpstr>
      <vt:lpstr>dez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Santana</dc:creator>
  <cp:lastModifiedBy>Jonathan Santana</cp:lastModifiedBy>
  <dcterms:created xsi:type="dcterms:W3CDTF">2015-06-05T18:19:34Z</dcterms:created>
  <dcterms:modified xsi:type="dcterms:W3CDTF">2025-09-13T22:00:56Z</dcterms:modified>
</cp:coreProperties>
</file>